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Revenue" sheetId="3" state="visible" r:id="rId5"/>
    <sheet name="UnitEconomics" sheetId="4" state="visible" r:id="rId6"/>
    <sheet name="PnL" sheetId="5" state="visible" r:id="rId7"/>
    <sheet name="Burn &amp; Runwa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<sst xmlns="http://schemas.openxmlformats.org/spreadsheetml/2006/main" count="250" uniqueCount="195">
  <si>
    <t xml:space="preserve">SAAS / EDTECH FINANCIAL MODEL  —  3-YEAR FORECAST</t>
  </si>
  <si>
    <t xml:space="preserve">Model by Shubham Singh  |  Change blue inputs in the Assumptions sheet to update all figures</t>
  </si>
  <si>
    <t xml:space="preserve">KEY METRICS  —  DEFAULT SCENARIO</t>
  </si>
  <si>
    <t xml:space="preserve">Year 3 ARR (₹)</t>
  </si>
  <si>
    <t xml:space="preserve">LTV : CAC</t>
  </si>
  <si>
    <t xml:space="preserve">CAC Payback</t>
  </si>
  <si>
    <t xml:space="preserve">Gross Margin (Yr 1)</t>
  </si>
  <si>
    <t xml:space="preserve">Year 1 Customers (EOP)</t>
  </si>
  <si>
    <t xml:space="preserve">Year 3 Customers (EOP)</t>
  </si>
  <si>
    <t xml:space="preserve">Annual NRR</t>
  </si>
  <si>
    <t xml:space="preserve">Yr 1 Avg Monthly Burn</t>
  </si>
  <si>
    <t xml:space="preserve">P&amp;L SNAPSHOT</t>
  </si>
  <si>
    <t xml:space="preserve">Year 1 (FY26)</t>
  </si>
  <si>
    <t xml:space="preserve">Year 2 (FY27)</t>
  </si>
  <si>
    <t xml:space="preserve">Year 3 (FY28)</t>
  </si>
  <si>
    <t xml:space="preserve">3-Yr Total</t>
  </si>
  <si>
    <t xml:space="preserve">Revenue (₹)</t>
  </si>
  <si>
    <t xml:space="preserve">Gross Profit (₹)</t>
  </si>
  <si>
    <t xml:space="preserve">Gross Margin %</t>
  </si>
  <si>
    <t xml:space="preserve">EBITDA (₹)</t>
  </si>
  <si>
    <t xml:space="preserve">EBITDA Margin %</t>
  </si>
  <si>
    <t xml:space="preserve">ARR — EOP (₹)</t>
  </si>
  <si>
    <t xml:space="preserve">Customers — EOP</t>
  </si>
  <si>
    <t xml:space="preserve">NAVIGATE THE MODEL</t>
  </si>
  <si>
    <t xml:space="preserve">Assumptions</t>
  </si>
  <si>
    <t xml:space="preserve">Edit all blue inputs here to model different scenarios.</t>
  </si>
  <si>
    <t xml:space="preserve">Revenue</t>
  </si>
  <si>
    <t xml:space="preserve">Month-by-month MRR build: new customers, churn, expansion, ARR.</t>
  </si>
  <si>
    <t xml:space="preserve">UnitEconomics</t>
  </si>
  <si>
    <t xml:space="preserve">LTV, CAC, payback period, NRR — with benchmark context.</t>
  </si>
  <si>
    <t xml:space="preserve">PnL</t>
  </si>
  <si>
    <t xml:space="preserve">3-year annual P&amp;L: Revenue, Gross Profit, OpEx, EBITDA.</t>
  </si>
  <si>
    <t xml:space="preserve">Burn &amp; Runway</t>
  </si>
  <si>
    <t xml:space="preserve">Monthly cash model: opening cash, burn rate, closing cash.</t>
  </si>
  <si>
    <t xml:space="preserve">COLOR CODING</t>
  </si>
  <si>
    <t xml:space="preserve">Blue text   — Hardcoded inputs in the Assumptions sheet. Edit freely.</t>
  </si>
  <si>
    <t xml:space="preserve">Black text  — Formulas. Do not edit.</t>
  </si>
  <si>
    <t xml:space="preserve">Green text  — Cross-sheet references pulling live data from other tabs.</t>
  </si>
  <si>
    <t xml:space="preserve">MODEL ASSUMPTIONS  —  SaaS / EdTech</t>
  </si>
  <si>
    <t xml:space="preserve">Blue cells are editable inputs. All other cells are formula-driven. Change inputs to model your scenario.</t>
  </si>
  <si>
    <t xml:space="preserve">BUSINESS INPUTS</t>
  </si>
  <si>
    <t xml:space="preserve">Starting Customers (Month 0)</t>
  </si>
  <si>
    <t xml:space="preserve">Customers already on platform before model starts</t>
  </si>
  <si>
    <t xml:space="preserve">New Customers / Month (Year 1)</t>
  </si>
  <si>
    <t xml:space="preserve">Average new logo additions per month</t>
  </si>
  <si>
    <t xml:space="preserve">Yr 1 → Yr 2  New Customer Growth</t>
  </si>
  <si>
    <t xml:space="preserve">YoY uplift in monthly new-customer pace</t>
  </si>
  <si>
    <t xml:space="preserve">Yr 2 → Yr 3  New Customer Growth</t>
  </si>
  <si>
    <t xml:space="preserve">New Customers / Month (Year 2)</t>
  </si>
  <si>
    <t xml:space="preserve">Auto-calculated</t>
  </si>
  <si>
    <t xml:space="preserve">New Customers / Month (Year 3)</t>
  </si>
  <si>
    <t xml:space="preserve">PRICING &amp; RETENTION</t>
  </si>
  <si>
    <t xml:space="preserve">Monthly ARPU (₹)</t>
  </si>
  <si>
    <t xml:space="preserve">Average Revenue Per User / seat per month</t>
  </si>
  <si>
    <t xml:space="preserve">Monthly Logo Churn Rate</t>
  </si>
  <si>
    <t xml:space="preserve">% of customers lost each month</t>
  </si>
  <si>
    <t xml:space="preserve">Monthly Expansion MRR Rate</t>
  </si>
  <si>
    <t xml:space="preserve">Upsell / seat expansion on existing MRR base</t>
  </si>
  <si>
    <t xml:space="preserve">UNIT ECONOMICS</t>
  </si>
  <si>
    <t xml:space="preserve">Blended CAC (₹)</t>
  </si>
  <si>
    <t xml:space="preserve">Fully-loaded sales + marketing cost per new customer</t>
  </si>
  <si>
    <t xml:space="preserve">COST STRUCTURE  (% of Revenue)</t>
  </si>
  <si>
    <t xml:space="preserve">COGS</t>
  </si>
  <si>
    <t xml:space="preserve">Hosting, content delivery, customer support</t>
  </si>
  <si>
    <t xml:space="preserve">Sales &amp; Marketing</t>
  </si>
  <si>
    <t xml:space="preserve">Sales team, digital ads, events</t>
  </si>
  <si>
    <t xml:space="preserve">R&amp;D / Product</t>
  </si>
  <si>
    <t xml:space="preserve">Engineering + product salaries</t>
  </si>
  <si>
    <t xml:space="preserve">G&amp;A</t>
  </si>
  <si>
    <t xml:space="preserve">Finance, HR, admin, legal</t>
  </si>
  <si>
    <t xml:space="preserve">Total OpEx (excl. COGS)</t>
  </si>
  <si>
    <t xml:space="preserve">S&amp;M + R&amp;D + G&amp;A</t>
  </si>
  <si>
    <t xml:space="preserve">Gross Margin (implied)</t>
  </si>
  <si>
    <t xml:space="preserve">CAPITAL</t>
  </si>
  <si>
    <t xml:space="preserve">Starting Cash (₹)</t>
  </si>
  <si>
    <t xml:space="preserve">Cash at Month 0 — seed or existing funding</t>
  </si>
  <si>
    <t xml:space="preserve">REVENUE MODEL  —  MONTHLY MRR BUILD-UP  (36 Months)</t>
  </si>
  <si>
    <t xml:space="preserve">Month</t>
  </si>
  <si>
    <t xml:space="preserve">Period</t>
  </si>
  <si>
    <t xml:space="preserve">New
Custs</t>
  </si>
  <si>
    <t xml:space="preserve">Churned
Custs</t>
  </si>
  <si>
    <t xml:space="preserve">Total Custs
(EOP)</t>
  </si>
  <si>
    <t xml:space="preserve">New MRR (₹)</t>
  </si>
  <si>
    <t xml:space="preserve">Churned MRR (₹)</t>
  </si>
  <si>
    <t xml:space="preserve">Expansion
MRR (₹)</t>
  </si>
  <si>
    <t xml:space="preserve">Net MRR
Change (₹)</t>
  </si>
  <si>
    <t xml:space="preserve">Total MRR
(₹)</t>
  </si>
  <si>
    <t xml:space="preserve">ARR (₹)</t>
  </si>
  <si>
    <t xml:space="preserve">Jan '26</t>
  </si>
  <si>
    <t xml:space="preserve">Feb '26</t>
  </si>
  <si>
    <t xml:space="preserve">Mar '26</t>
  </si>
  <si>
    <t xml:space="preserve">Apr '26</t>
  </si>
  <si>
    <t xml:space="preserve">May '26</t>
  </si>
  <si>
    <t xml:space="preserve">Jun '26</t>
  </si>
  <si>
    <t xml:space="preserve">Jul '26</t>
  </si>
  <si>
    <t xml:space="preserve">Aug '26</t>
  </si>
  <si>
    <t xml:space="preserve">Sep '26</t>
  </si>
  <si>
    <t xml:space="preserve">Oct '26</t>
  </si>
  <si>
    <t xml:space="preserve">Nov '26</t>
  </si>
  <si>
    <t xml:space="preserve">Dec '26</t>
  </si>
  <si>
    <t xml:space="preserve">Jan '27</t>
  </si>
  <si>
    <t xml:space="preserve">Feb '27</t>
  </si>
  <si>
    <t xml:space="preserve">Mar '27</t>
  </si>
  <si>
    <t xml:space="preserve">Apr '27</t>
  </si>
  <si>
    <t xml:space="preserve">May '27</t>
  </si>
  <si>
    <t xml:space="preserve">Jun '27</t>
  </si>
  <si>
    <t xml:space="preserve">Jul '27</t>
  </si>
  <si>
    <t xml:space="preserve">Aug '27</t>
  </si>
  <si>
    <t xml:space="preserve">Sep '27</t>
  </si>
  <si>
    <t xml:space="preserve">Oct '27</t>
  </si>
  <si>
    <t xml:space="preserve">Nov '27</t>
  </si>
  <si>
    <t xml:space="preserve">Dec '27</t>
  </si>
  <si>
    <t xml:space="preserve">Jan '28</t>
  </si>
  <si>
    <t xml:space="preserve">Feb '28</t>
  </si>
  <si>
    <t xml:space="preserve">Mar '28</t>
  </si>
  <si>
    <t xml:space="preserve">Apr '28</t>
  </si>
  <si>
    <t xml:space="preserve">May '28</t>
  </si>
  <si>
    <t xml:space="preserve">Jun '28</t>
  </si>
  <si>
    <t xml:space="preserve">Jul '28</t>
  </si>
  <si>
    <t xml:space="preserve">Aug '28</t>
  </si>
  <si>
    <t xml:space="preserve">Sep '28</t>
  </si>
  <si>
    <t xml:space="preserve">Oct '28</t>
  </si>
  <si>
    <t xml:space="preserve">Nov '28</t>
  </si>
  <si>
    <t xml:space="preserve">Dec '28</t>
  </si>
  <si>
    <t xml:space="preserve">Year 1 Summary</t>
  </si>
  <si>
    <t xml:space="preserve">Year 2 Summary</t>
  </si>
  <si>
    <t xml:space="preserve">Year 3 Summary</t>
  </si>
  <si>
    <t xml:space="preserve">Year colour: Blue = Year 1  |  Green = Year 2  |  Amber = Year 3</t>
  </si>
  <si>
    <t xml:space="preserve">CAC &amp; LTV</t>
  </si>
  <si>
    <t xml:space="preserve">Sales + marketing cost per new customer acquired</t>
  </si>
  <si>
    <t xml:space="preserve">Average revenue per customer per month</t>
  </si>
  <si>
    <t xml:space="preserve">Revenue retained after COGS</t>
  </si>
  <si>
    <t xml:space="preserve">Monthly Churn Rate</t>
  </si>
  <si>
    <t xml:space="preserve">% of customers lost per month</t>
  </si>
  <si>
    <t xml:space="preserve">Annual Churn (compounded)</t>
  </si>
  <si>
    <t xml:space="preserve">Formula: 1 − (1 − monthly_churn)^12</t>
  </si>
  <si>
    <t xml:space="preserve">Customer Lifetime (months)</t>
  </si>
  <si>
    <t xml:space="preserve">Formula: 1 ÷ monthly churn rate</t>
  </si>
  <si>
    <t xml:space="preserve">LTV (₹)</t>
  </si>
  <si>
    <t xml:space="preserve">Formula: ARPU × Gross Margin ÷ Monthly Churn</t>
  </si>
  <si>
    <t xml:space="preserve">Target ≥ 3x  |  World-class ≥ 5x</t>
  </si>
  <si>
    <t xml:space="preserve">CAC Payback Period (months)</t>
  </si>
  <si>
    <t xml:space="preserve">Target &lt; 18 months for B2B SaaS</t>
  </si>
  <si>
    <t xml:space="preserve">RETENTION &amp; EXPANSION</t>
  </si>
  <si>
    <t xml:space="preserve">Monthly Logo Churn</t>
  </si>
  <si>
    <t xml:space="preserve">Monthly Expansion Rate</t>
  </si>
  <si>
    <t xml:space="preserve">Upsell / seat growth on existing base</t>
  </si>
  <si>
    <t xml:space="preserve">Monthly Net Revenue Ret.</t>
  </si>
  <si>
    <t xml:space="preserve">Formula: 1 − Churn + Expansion</t>
  </si>
  <si>
    <t xml:space="preserve">&gt;100% = revenue grows without new sales</t>
  </si>
  <si>
    <t xml:space="preserve">BENCHMARK CONTEXT (B2B SaaS / EdTech)</t>
  </si>
  <si>
    <t xml:space="preserve">LTV:CAC &lt; 1x</t>
  </si>
  <si>
    <t xml:space="preserve">Losing money on every customer — fix pricing or CAC immediately</t>
  </si>
  <si>
    <t xml:space="preserve">LTV:CAC 1–3x</t>
  </si>
  <si>
    <t xml:space="preserve">Marginal — revisit pricing model or reduce acquisition cost</t>
  </si>
  <si>
    <t xml:space="preserve">LTV:CAC &gt; 3x</t>
  </si>
  <si>
    <t xml:space="preserve">Healthy benchmark — industry standard for sustainable SaaS</t>
  </si>
  <si>
    <t xml:space="preserve">LTV:CAC &gt; 5x</t>
  </si>
  <si>
    <t xml:space="preserve">Exceptional — significant headroom to accelerate growth spend</t>
  </si>
  <si>
    <t xml:space="preserve">Payback &lt; 12 mo</t>
  </si>
  <si>
    <t xml:space="preserve">Best-in-class — very fast capital efficiency</t>
  </si>
  <si>
    <t xml:space="preserve">Payback 12–18 mo</t>
  </si>
  <si>
    <t xml:space="preserve">Good for B2B SaaS with annual contracts</t>
  </si>
  <si>
    <t xml:space="preserve">Annual NRR &gt; 100%</t>
  </si>
  <si>
    <t xml:space="preserve">Expansion &gt; churn — company grows without a single new customer</t>
  </si>
  <si>
    <t xml:space="preserve">Annual NRR &gt; 120%</t>
  </si>
  <si>
    <t xml:space="preserve">World-class (Snowflake, Twilio) — strong upsell motion</t>
  </si>
  <si>
    <t xml:space="preserve">PROFIT &amp; LOSS  —  3-YEAR ANNUAL SUMMARY</t>
  </si>
  <si>
    <t xml:space="preserve">Revenue (MRR collected, ₹)</t>
  </si>
  <si>
    <t xml:space="preserve">  COGS</t>
  </si>
  <si>
    <t xml:space="preserve">Gross Profit</t>
  </si>
  <si>
    <t xml:space="preserve">  Sales &amp; Marketing</t>
  </si>
  <si>
    <t xml:space="preserve">  R&amp;D / Product</t>
  </si>
  <si>
    <t xml:space="preserve">  G&amp;A</t>
  </si>
  <si>
    <t xml:space="preserve">EBITDA</t>
  </si>
  <si>
    <t xml:space="preserve">KEY OPERATING METRICS</t>
  </si>
  <si>
    <t xml:space="preserve">Customers (EOP)</t>
  </si>
  <si>
    <t xml:space="preserve">ARR — End of Period (₹)</t>
  </si>
  <si>
    <t xml:space="preserve">Avg Monthly MRR Growth</t>
  </si>
  <si>
    <t xml:space="preserve">BURN &amp; RUNWAY  —  MONTHLY CASH MODEL  (36 Months)</t>
  </si>
  <si>
    <t xml:space="preserve">Revenue
(₹)</t>
  </si>
  <si>
    <t xml:space="preserve">COGS
(₹)</t>
  </si>
  <si>
    <t xml:space="preserve">Gross
Profit (₹)</t>
  </si>
  <si>
    <t xml:space="preserve">S&amp;M
(₹)</t>
  </si>
  <si>
    <t xml:space="preserve">R&amp;D
(₹)</t>
  </si>
  <si>
    <t xml:space="preserve">G&amp;A
(₹)</t>
  </si>
  <si>
    <t xml:space="preserve">Total
OpEx (₹)</t>
  </si>
  <si>
    <t xml:space="preserve">EBITDA /
Net Burn (₹)</t>
  </si>
  <si>
    <t xml:space="preserve">Opening
Cash (₹)</t>
  </si>
  <si>
    <t xml:space="preserve">Closing
Cash (₹)</t>
  </si>
  <si>
    <t xml:space="preserve">RUNWAY SUMMARY</t>
  </si>
  <si>
    <t xml:space="preserve">Closing Cash after 36 Months (₹)</t>
  </si>
  <si>
    <t xml:space="preserve">Avg Monthly Burn — Year 1 (₹)</t>
  </si>
  <si>
    <t xml:space="preserve">Avg Monthly Burn — Year 2 (₹)</t>
  </si>
  <si>
    <t xml:space="preserve">Cash Status after 36 Months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</si>
</sst>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"/>
    <numFmt numFmtId="166" formatCode="0.0\x"/>
    <numFmt numFmtId="167" formatCode="#,##0.0&quot; mo&quot;"/>
    <numFmt numFmtId="168" formatCode="0.0%"/>
    <numFmt numFmtId="169" formatCode="#,##0"/>
    <numFmt numFmtId="170" formatCode="0.00%"/>
    <numFmt numFmtId="171" formatCode="#,##0.0"/>
    <numFmt numFmtId="172" formatCode="@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8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B6623"/>
      <name val="Arial"/>
      <family val="0"/>
      <charset val="1"/>
    </font>
    <font>
      <sz val="10"/>
      <color rgb="FF0B6623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1546A0"/>
      <name val="Arial"/>
      <family val="0"/>
      <charset val="1"/>
    </font>
    <font>
      <sz val="10"/>
      <color rgb="FF111111"/>
      <name val="Arial"/>
      <family val="0"/>
      <charset val="1"/>
    </font>
    <font>
      <sz val="9"/>
      <color rgb="FFAAAAAA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1"/>
      <color rgb="FF0B6623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2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B6623"/>
      <name val="Arial"/>
      <family val="0"/>
      <charset val="1"/>
    </font>
    <font>
      <b val="true"/>
      <sz val="11"/>
      <color rgb="FF1111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7F7F7"/>
        <bgColor rgb="FFFEF9E7"/>
      </patternFill>
    </fill>
    <fill>
      <patternFill patternType="solid">
        <fgColor rgb="FFEBF5FB"/>
        <bgColor rgb="FFE8F8F0"/>
      </patternFill>
    </fill>
    <fill>
      <patternFill patternType="solid">
        <fgColor rgb="FFE8F8F0"/>
        <bgColor rgb="FFEBF5FB"/>
      </patternFill>
    </fill>
    <fill>
      <patternFill patternType="solid">
        <fgColor rgb="FFFEF9E7"/>
        <bgColor rgb="FFF7F7F7"/>
      </patternFill>
    </fill>
    <fill>
      <patternFill patternType="solid">
        <fgColor rgb="FFDCE6F1"/>
        <bgColor rgb="FFEBF5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EF9E7"/>
      <rgbColor rgb="FFE8F8F0"/>
      <rgbColor rgb="FF660066"/>
      <rgbColor rgb="FFFF8080"/>
      <rgbColor rgb="FF2E6DA4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7F7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3A5C"/>
      <rgbColor rgb="FF339966"/>
      <rgbColor rgb="FF111111"/>
      <rgbColor rgb="FF444444"/>
      <rgbColor rgb="FF993300"/>
      <rgbColor rgb="FF993366"/>
      <rgbColor rgb="FF1546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8" min="6" style="0" width="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B5" s="4" t="s">
        <v>3</v>
      </c>
      <c r="D5" s="4" t="s">
        <v>4</v>
      </c>
      <c r="F5" s="4" t="s">
        <v>5</v>
      </c>
      <c r="H5" s="4" t="s">
        <v>6</v>
      </c>
    </row>
    <row r="6" customFormat="false" ht="30" hidden="false" customHeight="true" outlineLevel="0" collapsed="false">
      <c r="B6" s="5" t="n">
        <f aca="false">PnL!D19</f>
        <v>22751533.1120297</v>
      </c>
      <c r="D6" s="6" t="n">
        <f aca="false">UnitEconomics!B11</f>
        <v>8</v>
      </c>
      <c r="F6" s="7" t="n">
        <f aca="false">UnitEconomics!B12</f>
        <v>6.3</v>
      </c>
      <c r="H6" s="8" t="n">
        <f aca="false">PnL!B7</f>
        <v>0.8</v>
      </c>
    </row>
    <row r="8" customFormat="false" ht="15" hidden="false" customHeight="false" outlineLevel="0" collapsed="false">
      <c r="B8" s="4" t="s">
        <v>7</v>
      </c>
      <c r="D8" s="4" t="s">
        <v>8</v>
      </c>
      <c r="F8" s="4" t="s">
        <v>9</v>
      </c>
      <c r="H8" s="4" t="s">
        <v>10</v>
      </c>
    </row>
    <row r="9" customFormat="false" ht="30" hidden="false" customHeight="true" outlineLevel="0" collapsed="false">
      <c r="B9" s="9" t="n">
        <f aca="false">Revenue!E14</f>
        <v>146</v>
      </c>
      <c r="D9" s="9" t="n">
        <f aca="false">Revenue!E38</f>
        <v>342</v>
      </c>
      <c r="F9" s="8" t="n">
        <f aca="false">UnitEconomics!B18</f>
        <v>0.834131968340877</v>
      </c>
      <c r="H9" s="5" t="n">
        <f aca="false">ABS(PnL!B14)/12</f>
        <v>53469.5431326057</v>
      </c>
    </row>
    <row r="12" customFormat="false" ht="19.5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</row>
    <row r="13" customFormat="false" ht="21.75" hidden="false" customHeight="true" outlineLevel="0" collapsed="false">
      <c r="A13" s="10"/>
      <c r="B13" s="11" t="s">
        <v>12</v>
      </c>
      <c r="C13" s="11" t="s">
        <v>13</v>
      </c>
      <c r="D13" s="11" t="s">
        <v>14</v>
      </c>
      <c r="E13" s="11" t="s">
        <v>15</v>
      </c>
    </row>
    <row r="14" customFormat="false" ht="18" hidden="false" customHeight="true" outlineLevel="0" collapsed="false">
      <c r="A14" s="12" t="s">
        <v>16</v>
      </c>
      <c r="B14" s="13" t="n">
        <f aca="false">PnL!B4</f>
        <v>6416345.1759127</v>
      </c>
      <c r="C14" s="13" t="n">
        <f aca="false">PnL!C4</f>
        <v>12794146.9496674</v>
      </c>
      <c r="D14" s="13" t="n">
        <f aca="false">PnL!D4</f>
        <v>19627687.5009167</v>
      </c>
      <c r="E14" s="13" t="n">
        <f aca="false">PnL!E4</f>
        <v>38838179.6264967</v>
      </c>
    </row>
    <row r="15" customFormat="false" ht="18" hidden="false" customHeight="true" outlineLevel="0" collapsed="false">
      <c r="A15" s="12" t="s">
        <v>17</v>
      </c>
      <c r="B15" s="14" t="n">
        <f aca="false">PnL!B6</f>
        <v>5133076.14073016</v>
      </c>
      <c r="C15" s="14" t="n">
        <f aca="false">PnL!C6</f>
        <v>10235317.5597339</v>
      </c>
      <c r="D15" s="14" t="n">
        <f aca="false">PnL!D6</f>
        <v>15702150.0007333</v>
      </c>
      <c r="E15" s="14" t="n">
        <f aca="false">PnL!E6</f>
        <v>31070543.7011974</v>
      </c>
    </row>
    <row r="16" customFormat="false" ht="18" hidden="false" customHeight="true" outlineLevel="0" collapsed="false">
      <c r="A16" s="12" t="s">
        <v>18</v>
      </c>
      <c r="B16" s="15" t="n">
        <f aca="false">PnL!B7</f>
        <v>0.8</v>
      </c>
      <c r="C16" s="15" t="n">
        <f aca="false">PnL!C7</f>
        <v>0.8</v>
      </c>
      <c r="D16" s="15" t="n">
        <f aca="false">PnL!D7</f>
        <v>0.8</v>
      </c>
      <c r="E16" s="15" t="n">
        <f aca="false">PnL!E7</f>
        <v>0.8</v>
      </c>
    </row>
    <row r="17" customFormat="false" ht="18" hidden="false" customHeight="true" outlineLevel="0" collapsed="false">
      <c r="A17" s="12" t="s">
        <v>19</v>
      </c>
      <c r="B17" s="13" t="n">
        <f aca="false">PnL!B14</f>
        <v>641634.517591269</v>
      </c>
      <c r="C17" s="13" t="n">
        <f aca="false">PnL!C14</f>
        <v>1279414.69496674</v>
      </c>
      <c r="D17" s="13" t="n">
        <f aca="false">PnL!D14</f>
        <v>1962768.75009167</v>
      </c>
      <c r="E17" s="13" t="n">
        <f aca="false">PnL!E14</f>
        <v>3883817.96264967</v>
      </c>
    </row>
    <row r="18" customFormat="false" ht="18" hidden="false" customHeight="true" outlineLevel="0" collapsed="false">
      <c r="A18" s="12" t="s">
        <v>20</v>
      </c>
      <c r="B18" s="15" t="n">
        <f aca="false">PnL!B15</f>
        <v>0.0999999999999999</v>
      </c>
      <c r="C18" s="15" t="n">
        <f aca="false">PnL!C15</f>
        <v>0.1</v>
      </c>
      <c r="D18" s="15" t="n">
        <f aca="false">PnL!D15</f>
        <v>0.1</v>
      </c>
      <c r="E18" s="15" t="n">
        <f aca="false">PnL!E15</f>
        <v>0.1</v>
      </c>
    </row>
    <row r="19" customFormat="false" ht="18" hidden="false" customHeight="true" outlineLevel="0" collapsed="false">
      <c r="A19" s="12" t="s">
        <v>21</v>
      </c>
      <c r="B19" s="13" t="n">
        <f aca="false">PnL!B19</f>
        <v>9114408.66721867</v>
      </c>
      <c r="C19" s="13" t="n">
        <f aca="false">PnL!C19</f>
        <v>15728984.6045122</v>
      </c>
      <c r="D19" s="13" t="n">
        <f aca="false">PnL!D19</f>
        <v>22751533.1120297</v>
      </c>
      <c r="E19" s="13" t="n">
        <f aca="false">PnL!E19</f>
        <v>22751533.1120297</v>
      </c>
    </row>
    <row r="20" customFormat="false" ht="18" hidden="false" customHeight="true" outlineLevel="0" collapsed="false">
      <c r="A20" s="12" t="s">
        <v>22</v>
      </c>
      <c r="B20" s="16" t="n">
        <f aca="false">PnL!B18</f>
        <v>146</v>
      </c>
      <c r="C20" s="16" t="n">
        <f aca="false">PnL!C18</f>
        <v>244</v>
      </c>
      <c r="D20" s="16" t="n">
        <f aca="false">PnL!D18</f>
        <v>342</v>
      </c>
      <c r="E20" s="16" t="n">
        <f aca="false">PnL!E18</f>
        <v>342</v>
      </c>
    </row>
    <row r="23" customFormat="false" ht="19.5" hidden="false" customHeight="true" outlineLevel="0" collapsed="false">
      <c r="A23" s="3" t="s">
        <v>23</v>
      </c>
      <c r="B23" s="3"/>
      <c r="C23" s="3"/>
      <c r="D23" s="3"/>
      <c r="E23" s="3"/>
      <c r="F23" s="3"/>
      <c r="G23" s="3"/>
      <c r="H23" s="3"/>
    </row>
    <row r="24" customFormat="false" ht="18" hidden="false" customHeight="true" outlineLevel="0" collapsed="false">
      <c r="A24" s="11" t="s">
        <v>24</v>
      </c>
      <c r="B24" s="17" t="s">
        <v>25</v>
      </c>
      <c r="C24" s="17"/>
      <c r="D24" s="17"/>
      <c r="E24" s="17"/>
      <c r="F24" s="17"/>
      <c r="G24" s="17"/>
      <c r="H24" s="17"/>
    </row>
    <row r="25" customFormat="false" ht="18" hidden="false" customHeight="true" outlineLevel="0" collapsed="false">
      <c r="A25" s="11" t="s">
        <v>26</v>
      </c>
      <c r="B25" s="17" t="s">
        <v>27</v>
      </c>
      <c r="C25" s="17"/>
      <c r="D25" s="17"/>
      <c r="E25" s="17"/>
      <c r="F25" s="17"/>
      <c r="G25" s="17"/>
      <c r="H25" s="17"/>
    </row>
    <row r="26" customFormat="false" ht="18" hidden="false" customHeight="true" outlineLevel="0" collapsed="false">
      <c r="A26" s="11" t="s">
        <v>28</v>
      </c>
      <c r="B26" s="17" t="s">
        <v>29</v>
      </c>
      <c r="C26" s="17"/>
      <c r="D26" s="17"/>
      <c r="E26" s="17"/>
      <c r="F26" s="17"/>
      <c r="G26" s="17"/>
      <c r="H26" s="17"/>
    </row>
    <row r="27" customFormat="false" ht="18" hidden="false" customHeight="true" outlineLevel="0" collapsed="false">
      <c r="A27" s="11" t="s">
        <v>30</v>
      </c>
      <c r="B27" s="17" t="s">
        <v>31</v>
      </c>
      <c r="C27" s="17"/>
      <c r="D27" s="17"/>
      <c r="E27" s="17"/>
      <c r="F27" s="17"/>
      <c r="G27" s="17"/>
      <c r="H27" s="17"/>
    </row>
    <row r="28" customFormat="false" ht="18" hidden="false" customHeight="true" outlineLevel="0" collapsed="false">
      <c r="A28" s="11" t="s">
        <v>32</v>
      </c>
      <c r="B28" s="17" t="s">
        <v>33</v>
      </c>
      <c r="C28" s="17"/>
      <c r="D28" s="17"/>
      <c r="E28" s="17"/>
      <c r="F28" s="17"/>
      <c r="G28" s="17"/>
      <c r="H28" s="17"/>
    </row>
    <row r="30" customFormat="false" ht="19.5" hidden="false" customHeight="true" outlineLevel="0" collapsed="false">
      <c r="A30" s="3" t="s">
        <v>34</v>
      </c>
      <c r="B30" s="3"/>
      <c r="C30" s="3"/>
      <c r="D30" s="3"/>
      <c r="E30" s="3"/>
      <c r="F30" s="3"/>
      <c r="G30" s="3"/>
      <c r="H30" s="3"/>
    </row>
    <row r="31" customFormat="false" ht="15.75" hidden="false" customHeight="true" outlineLevel="0" collapsed="false">
      <c r="A31" s="18" t="s">
        <v>35</v>
      </c>
      <c r="B31" s="18"/>
      <c r="C31" s="18"/>
      <c r="D31" s="18"/>
      <c r="E31" s="18"/>
      <c r="F31" s="18"/>
      <c r="G31" s="18"/>
      <c r="H31" s="18"/>
    </row>
    <row r="32" customFormat="false" ht="15.75" hidden="false" customHeight="true" outlineLevel="0" collapsed="false">
      <c r="A32" s="19" t="s">
        <v>36</v>
      </c>
      <c r="B32" s="19"/>
      <c r="C32" s="19"/>
      <c r="D32" s="19"/>
      <c r="E32" s="19"/>
      <c r="F32" s="19"/>
      <c r="G32" s="19"/>
      <c r="H32" s="19"/>
    </row>
    <row r="33" customFormat="false" ht="15.75" hidden="false" customHeight="true" outlineLevel="0" collapsed="false">
      <c r="A33" s="20" t="s">
        <v>37</v>
      </c>
      <c r="B33" s="20"/>
      <c r="C33" s="20"/>
      <c r="D33" s="20"/>
      <c r="E33" s="20"/>
      <c r="F33" s="20"/>
      <c r="G33" s="20"/>
      <c r="H33" s="20"/>
    </row>
  </sheetData>
  <mergeCells count="14">
    <mergeCell ref="A1:H1"/>
    <mergeCell ref="A2:H2"/>
    <mergeCell ref="A4:H4"/>
    <mergeCell ref="A12:H12"/>
    <mergeCell ref="A23:H23"/>
    <mergeCell ref="B24:H24"/>
    <mergeCell ref="B25:H25"/>
    <mergeCell ref="B26:H26"/>
    <mergeCell ref="B27:H27"/>
    <mergeCell ref="B28:H28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36" hidden="false" customHeight="true" outlineLevel="0" collapsed="false">
      <c r="A1" s="1" t="s">
        <v>38</v>
      </c>
      <c r="B1" s="1"/>
      <c r="C1" s="1"/>
    </row>
    <row r="2" customFormat="false" ht="15" hidden="false" customHeight="false" outlineLevel="0" collapsed="false">
      <c r="A2" s="2" t="s">
        <v>39</v>
      </c>
      <c r="B2" s="2"/>
      <c r="C2" s="2"/>
    </row>
    <row r="3" customFormat="false" ht="19.5" hidden="false" customHeight="true" outlineLevel="0" collapsed="false">
      <c r="A3" s="21" t="s">
        <v>40</v>
      </c>
      <c r="B3" s="21"/>
      <c r="C3" s="21"/>
    </row>
    <row r="4" customFormat="false" ht="18" hidden="false" customHeight="true" outlineLevel="0" collapsed="false">
      <c r="A4" s="12" t="s">
        <v>41</v>
      </c>
      <c r="B4" s="22" t="n">
        <v>50</v>
      </c>
      <c r="C4" s="23" t="s">
        <v>42</v>
      </c>
    </row>
    <row r="5" customFormat="false" ht="18" hidden="false" customHeight="true" outlineLevel="0" collapsed="false">
      <c r="A5" s="12" t="s">
        <v>43</v>
      </c>
      <c r="B5" s="22" t="n">
        <v>10</v>
      </c>
      <c r="C5" s="23" t="s">
        <v>44</v>
      </c>
    </row>
    <row r="6" customFormat="false" ht="18" hidden="false" customHeight="true" outlineLevel="0" collapsed="false">
      <c r="A6" s="12" t="s">
        <v>45</v>
      </c>
      <c r="B6" s="24" t="n">
        <v>0.2</v>
      </c>
      <c r="C6" s="23" t="s">
        <v>46</v>
      </c>
    </row>
    <row r="7" customFormat="false" ht="18" hidden="false" customHeight="true" outlineLevel="0" collapsed="false">
      <c r="A7" s="12" t="s">
        <v>47</v>
      </c>
      <c r="B7" s="24" t="n">
        <v>0.15</v>
      </c>
    </row>
    <row r="8" customFormat="false" ht="18" hidden="false" customHeight="true" outlineLevel="0" collapsed="false">
      <c r="A8" s="12" t="s">
        <v>48</v>
      </c>
      <c r="B8" s="25" t="n">
        <f aca="false">ROUND(B5*(1+B6),0)</f>
        <v>12</v>
      </c>
      <c r="C8" s="23" t="s">
        <v>49</v>
      </c>
    </row>
    <row r="9" customFormat="false" ht="18" hidden="false" customHeight="true" outlineLevel="0" collapsed="false">
      <c r="A9" s="12" t="s">
        <v>50</v>
      </c>
      <c r="B9" s="25" t="n">
        <f aca="false">ROUND(B8*(1+B7),0)</f>
        <v>14</v>
      </c>
      <c r="C9" s="23" t="s">
        <v>49</v>
      </c>
    </row>
    <row r="11" customFormat="false" ht="19.5" hidden="false" customHeight="true" outlineLevel="0" collapsed="false">
      <c r="A11" s="21" t="s">
        <v>51</v>
      </c>
      <c r="B11" s="21"/>
      <c r="C11" s="21"/>
    </row>
    <row r="12" customFormat="false" ht="18" hidden="false" customHeight="true" outlineLevel="0" collapsed="false">
      <c r="A12" s="12" t="s">
        <v>52</v>
      </c>
      <c r="B12" s="26" t="n">
        <v>5000</v>
      </c>
      <c r="C12" s="23" t="s">
        <v>53</v>
      </c>
    </row>
    <row r="13" customFormat="false" ht="18" hidden="false" customHeight="true" outlineLevel="0" collapsed="false">
      <c r="A13" s="12" t="s">
        <v>54</v>
      </c>
      <c r="B13" s="24" t="n">
        <v>0.02</v>
      </c>
      <c r="C13" s="23" t="s">
        <v>55</v>
      </c>
    </row>
    <row r="14" customFormat="false" ht="18" hidden="false" customHeight="true" outlineLevel="0" collapsed="false">
      <c r="A14" s="12" t="s">
        <v>56</v>
      </c>
      <c r="B14" s="24" t="n">
        <v>0.005</v>
      </c>
      <c r="C14" s="23" t="s">
        <v>57</v>
      </c>
    </row>
    <row r="16" customFormat="false" ht="19.5" hidden="false" customHeight="true" outlineLevel="0" collapsed="false">
      <c r="A16" s="21" t="s">
        <v>58</v>
      </c>
      <c r="B16" s="21"/>
      <c r="C16" s="21"/>
    </row>
    <row r="17" customFormat="false" ht="18" hidden="false" customHeight="true" outlineLevel="0" collapsed="false">
      <c r="A17" s="12" t="s">
        <v>59</v>
      </c>
      <c r="B17" s="26" t="n">
        <v>25000</v>
      </c>
      <c r="C17" s="23" t="s">
        <v>60</v>
      </c>
    </row>
    <row r="19" customFormat="false" ht="19.5" hidden="false" customHeight="true" outlineLevel="0" collapsed="false">
      <c r="A19" s="21" t="s">
        <v>61</v>
      </c>
      <c r="B19" s="21"/>
      <c r="C19" s="21"/>
    </row>
    <row r="20" customFormat="false" ht="18" hidden="false" customHeight="true" outlineLevel="0" collapsed="false">
      <c r="A20" s="12" t="s">
        <v>62</v>
      </c>
      <c r="B20" s="24" t="n">
        <v>0.2</v>
      </c>
      <c r="C20" s="23" t="s">
        <v>63</v>
      </c>
    </row>
    <row r="21" customFormat="false" ht="18" hidden="false" customHeight="true" outlineLevel="0" collapsed="false">
      <c r="A21" s="12" t="s">
        <v>64</v>
      </c>
      <c r="B21" s="24" t="n">
        <v>0.35</v>
      </c>
      <c r="C21" s="23" t="s">
        <v>65</v>
      </c>
    </row>
    <row r="22" customFormat="false" ht="18" hidden="false" customHeight="true" outlineLevel="0" collapsed="false">
      <c r="A22" s="12" t="s">
        <v>66</v>
      </c>
      <c r="B22" s="24" t="n">
        <v>0.2</v>
      </c>
      <c r="C22" s="23" t="s">
        <v>67</v>
      </c>
    </row>
    <row r="23" customFormat="false" ht="18" hidden="false" customHeight="true" outlineLevel="0" collapsed="false">
      <c r="A23" s="12" t="s">
        <v>68</v>
      </c>
      <c r="B23" s="24" t="n">
        <v>0.15</v>
      </c>
      <c r="C23" s="23" t="s">
        <v>69</v>
      </c>
    </row>
    <row r="24" customFormat="false" ht="18" hidden="false" customHeight="true" outlineLevel="0" collapsed="false">
      <c r="A24" s="12" t="s">
        <v>70</v>
      </c>
      <c r="B24" s="27" t="n">
        <f aca="false">B21+B22+B23</f>
        <v>0.7</v>
      </c>
      <c r="C24" s="23" t="s">
        <v>71</v>
      </c>
    </row>
    <row r="25" customFormat="false" ht="18" hidden="false" customHeight="true" outlineLevel="0" collapsed="false">
      <c r="A25" s="12" t="s">
        <v>72</v>
      </c>
      <c r="B25" s="27" t="n">
        <f aca="false">1-B20</f>
        <v>0.8</v>
      </c>
    </row>
    <row r="27" customFormat="false" ht="19.5" hidden="false" customHeight="true" outlineLevel="0" collapsed="false">
      <c r="A27" s="21" t="s">
        <v>73</v>
      </c>
      <c r="B27" s="21"/>
      <c r="C27" s="21"/>
    </row>
    <row r="28" customFormat="false" ht="18" hidden="false" customHeight="true" outlineLevel="0" collapsed="false">
      <c r="A28" s="12" t="s">
        <v>74</v>
      </c>
      <c r="B28" s="26" t="n">
        <v>5000000</v>
      </c>
      <c r="C28" s="23" t="s">
        <v>75</v>
      </c>
    </row>
  </sheetData>
  <mergeCells count="7">
    <mergeCell ref="A1:C1"/>
    <mergeCell ref="A2:C2"/>
    <mergeCell ref="A3:C3"/>
    <mergeCell ref="A11:C11"/>
    <mergeCell ref="A16:C16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9" min="6" style="0" width="16"/>
    <col collapsed="false" customWidth="true" hidden="false" outlineLevel="0" max="11" min="10" style="0" width="18"/>
  </cols>
  <sheetData>
    <row r="1" customFormat="false" ht="36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8" t="s">
        <v>77</v>
      </c>
      <c r="B2" s="28" t="s">
        <v>78</v>
      </c>
      <c r="C2" s="28" t="s">
        <v>79</v>
      </c>
      <c r="D2" s="28" t="s">
        <v>80</v>
      </c>
      <c r="E2" s="28" t="s">
        <v>81</v>
      </c>
      <c r="F2" s="28" t="s">
        <v>82</v>
      </c>
      <c r="G2" s="28" t="s">
        <v>83</v>
      </c>
      <c r="H2" s="28" t="s">
        <v>84</v>
      </c>
      <c r="I2" s="28" t="s">
        <v>85</v>
      </c>
      <c r="J2" s="28" t="s">
        <v>86</v>
      </c>
      <c r="K2" s="28" t="s">
        <v>87</v>
      </c>
    </row>
    <row r="3" customFormat="false" ht="15" hidden="false" customHeight="false" outlineLevel="0" collapsed="false">
      <c r="A3" s="29" t="n">
        <v>1</v>
      </c>
      <c r="B3" s="29" t="s">
        <v>88</v>
      </c>
      <c r="C3" s="30" t="n">
        <f aca="false">IF(A3&lt;=12,Assumptions!$B$5,IF(A3&lt;=24,Assumptions!$B$8,Assumptions!$B$9))</f>
        <v>10</v>
      </c>
      <c r="D3" s="30" t="n">
        <f aca="false">ROUND(Assumptions!$B$4*Assumptions!$B$13,0)</f>
        <v>1</v>
      </c>
      <c r="E3" s="30" t="n">
        <f aca="false">Assumptions!$B$4+C3-D3</f>
        <v>59</v>
      </c>
      <c r="F3" s="31" t="n">
        <f aca="false">C3*Assumptions!$B$12</f>
        <v>50000</v>
      </c>
      <c r="G3" s="31" t="n">
        <f aca="false">D3*Assumptions!$B$12</f>
        <v>5000</v>
      </c>
      <c r="H3" s="31" t="n">
        <f aca="false">Assumptions!$B$4*Assumptions!$B$12*Assumptions!$B$14</f>
        <v>1250</v>
      </c>
      <c r="I3" s="31" t="n">
        <f aca="false">F3-G3+H3</f>
        <v>46250</v>
      </c>
      <c r="J3" s="31" t="n">
        <f aca="false">Assumptions!$B$4*Assumptions!$B$12+I3</f>
        <v>296250</v>
      </c>
      <c r="K3" s="31" t="n">
        <f aca="false">J3*12</f>
        <v>3555000</v>
      </c>
    </row>
    <row r="4" customFormat="false" ht="15" hidden="false" customHeight="false" outlineLevel="0" collapsed="false">
      <c r="A4" s="29" t="n">
        <v>2</v>
      </c>
      <c r="B4" s="29" t="s">
        <v>89</v>
      </c>
      <c r="C4" s="30" t="n">
        <f aca="false">IF(A4&lt;=12,Assumptions!$B$5,IF(A4&lt;=24,Assumptions!$B$8,Assumptions!$B$9))</f>
        <v>10</v>
      </c>
      <c r="D4" s="30" t="n">
        <f aca="false">ROUND(E3*Assumptions!$B$13,0)</f>
        <v>1</v>
      </c>
      <c r="E4" s="30" t="n">
        <f aca="false">E3+C4-D4</f>
        <v>68</v>
      </c>
      <c r="F4" s="31" t="n">
        <f aca="false">C4*Assumptions!$B$12</f>
        <v>50000</v>
      </c>
      <c r="G4" s="31" t="n">
        <f aca="false">D4*Assumptions!$B$12</f>
        <v>5000</v>
      </c>
      <c r="H4" s="31" t="n">
        <f aca="false">J3*Assumptions!$B$14</f>
        <v>1481.25</v>
      </c>
      <c r="I4" s="31" t="n">
        <f aca="false">F4-G4+H4</f>
        <v>46481.25</v>
      </c>
      <c r="J4" s="31" t="n">
        <f aca="false">J3+I4</f>
        <v>342731.25</v>
      </c>
      <c r="K4" s="31" t="n">
        <f aca="false">J4*12</f>
        <v>4112775</v>
      </c>
    </row>
    <row r="5" customFormat="false" ht="15" hidden="false" customHeight="false" outlineLevel="0" collapsed="false">
      <c r="A5" s="29" t="n">
        <v>3</v>
      </c>
      <c r="B5" s="29" t="s">
        <v>90</v>
      </c>
      <c r="C5" s="30" t="n">
        <f aca="false">IF(A5&lt;=12,Assumptions!$B$5,IF(A5&lt;=24,Assumptions!$B$8,Assumptions!$B$9))</f>
        <v>10</v>
      </c>
      <c r="D5" s="30" t="n">
        <f aca="false">ROUND(E4*Assumptions!$B$13,0)</f>
        <v>1</v>
      </c>
      <c r="E5" s="30" t="n">
        <f aca="false">E4+C5-D5</f>
        <v>77</v>
      </c>
      <c r="F5" s="31" t="n">
        <f aca="false">C5*Assumptions!$B$12</f>
        <v>50000</v>
      </c>
      <c r="G5" s="31" t="n">
        <f aca="false">D5*Assumptions!$B$12</f>
        <v>5000</v>
      </c>
      <c r="H5" s="31" t="n">
        <f aca="false">J4*Assumptions!$B$14</f>
        <v>1713.65625</v>
      </c>
      <c r="I5" s="31" t="n">
        <f aca="false">F5-G5+H5</f>
        <v>46713.65625</v>
      </c>
      <c r="J5" s="31" t="n">
        <f aca="false">J4+I5</f>
        <v>389444.90625</v>
      </c>
      <c r="K5" s="31" t="n">
        <f aca="false">J5*12</f>
        <v>4673338.875</v>
      </c>
    </row>
    <row r="6" customFormat="false" ht="15" hidden="false" customHeight="false" outlineLevel="0" collapsed="false">
      <c r="A6" s="29" t="n">
        <v>4</v>
      </c>
      <c r="B6" s="29" t="s">
        <v>91</v>
      </c>
      <c r="C6" s="30" t="n">
        <f aca="false">IF(A6&lt;=12,Assumptions!$B$5,IF(A6&lt;=24,Assumptions!$B$8,Assumptions!$B$9))</f>
        <v>10</v>
      </c>
      <c r="D6" s="30" t="n">
        <f aca="false">ROUND(E5*Assumptions!$B$13,0)</f>
        <v>2</v>
      </c>
      <c r="E6" s="30" t="n">
        <f aca="false">E5+C6-D6</f>
        <v>85</v>
      </c>
      <c r="F6" s="31" t="n">
        <f aca="false">C6*Assumptions!$B$12</f>
        <v>50000</v>
      </c>
      <c r="G6" s="31" t="n">
        <f aca="false">D6*Assumptions!$B$12</f>
        <v>10000</v>
      </c>
      <c r="H6" s="31" t="n">
        <f aca="false">J5*Assumptions!$B$14</f>
        <v>1947.22453125</v>
      </c>
      <c r="I6" s="31" t="n">
        <f aca="false">F6-G6+H6</f>
        <v>41947.22453125</v>
      </c>
      <c r="J6" s="31" t="n">
        <f aca="false">J5+I6</f>
        <v>431392.13078125</v>
      </c>
      <c r="K6" s="31" t="n">
        <f aca="false">J6*12</f>
        <v>5176705.569375</v>
      </c>
    </row>
    <row r="7" customFormat="false" ht="15" hidden="false" customHeight="false" outlineLevel="0" collapsed="false">
      <c r="A7" s="29" t="n">
        <v>5</v>
      </c>
      <c r="B7" s="29" t="s">
        <v>92</v>
      </c>
      <c r="C7" s="30" t="n">
        <f aca="false">IF(A7&lt;=12,Assumptions!$B$5,IF(A7&lt;=24,Assumptions!$B$8,Assumptions!$B$9))</f>
        <v>10</v>
      </c>
      <c r="D7" s="30" t="n">
        <f aca="false">ROUND(E6*Assumptions!$B$13,0)</f>
        <v>2</v>
      </c>
      <c r="E7" s="30" t="n">
        <f aca="false">E6+C7-D7</f>
        <v>93</v>
      </c>
      <c r="F7" s="31" t="n">
        <f aca="false">C7*Assumptions!$B$12</f>
        <v>50000</v>
      </c>
      <c r="G7" s="31" t="n">
        <f aca="false">D7*Assumptions!$B$12</f>
        <v>10000</v>
      </c>
      <c r="H7" s="31" t="n">
        <f aca="false">J6*Assumptions!$B$14</f>
        <v>2156.96065390625</v>
      </c>
      <c r="I7" s="31" t="n">
        <f aca="false">F7-G7+H7</f>
        <v>42156.9606539063</v>
      </c>
      <c r="J7" s="31" t="n">
        <f aca="false">J6+I7</f>
        <v>473549.091435156</v>
      </c>
      <c r="K7" s="31" t="n">
        <f aca="false">J7*12</f>
        <v>5682589.09722188</v>
      </c>
    </row>
    <row r="8" customFormat="false" ht="15" hidden="false" customHeight="false" outlineLevel="0" collapsed="false">
      <c r="A8" s="29" t="n">
        <v>6</v>
      </c>
      <c r="B8" s="29" t="s">
        <v>93</v>
      </c>
      <c r="C8" s="30" t="n">
        <f aca="false">IF(A8&lt;=12,Assumptions!$B$5,IF(A8&lt;=24,Assumptions!$B$8,Assumptions!$B$9))</f>
        <v>10</v>
      </c>
      <c r="D8" s="30" t="n">
        <f aca="false">ROUND(E7*Assumptions!$B$13,0)</f>
        <v>2</v>
      </c>
      <c r="E8" s="30" t="n">
        <f aca="false">E7+C8-D8</f>
        <v>101</v>
      </c>
      <c r="F8" s="31" t="n">
        <f aca="false">C8*Assumptions!$B$12</f>
        <v>50000</v>
      </c>
      <c r="G8" s="31" t="n">
        <f aca="false">D8*Assumptions!$B$12</f>
        <v>10000</v>
      </c>
      <c r="H8" s="31" t="n">
        <f aca="false">J7*Assumptions!$B$14</f>
        <v>2367.74545717578</v>
      </c>
      <c r="I8" s="31" t="n">
        <f aca="false">F8-G8+H8</f>
        <v>42367.7454571758</v>
      </c>
      <c r="J8" s="31" t="n">
        <f aca="false">J7+I8</f>
        <v>515916.836892332</v>
      </c>
      <c r="K8" s="31" t="n">
        <f aca="false">J8*12</f>
        <v>6191002.04270799</v>
      </c>
    </row>
    <row r="9" customFormat="false" ht="15" hidden="false" customHeight="false" outlineLevel="0" collapsed="false">
      <c r="A9" s="29" t="n">
        <v>7</v>
      </c>
      <c r="B9" s="29" t="s">
        <v>94</v>
      </c>
      <c r="C9" s="30" t="n">
        <f aca="false">IF(A9&lt;=12,Assumptions!$B$5,IF(A9&lt;=24,Assumptions!$B$8,Assumptions!$B$9))</f>
        <v>10</v>
      </c>
      <c r="D9" s="30" t="n">
        <f aca="false">ROUND(E8*Assumptions!$B$13,0)</f>
        <v>2</v>
      </c>
      <c r="E9" s="30" t="n">
        <f aca="false">E8+C9-D9</f>
        <v>109</v>
      </c>
      <c r="F9" s="31" t="n">
        <f aca="false">C9*Assumptions!$B$12</f>
        <v>50000</v>
      </c>
      <c r="G9" s="31" t="n">
        <f aca="false">D9*Assumptions!$B$12</f>
        <v>10000</v>
      </c>
      <c r="H9" s="31" t="n">
        <f aca="false">J8*Assumptions!$B$14</f>
        <v>2579.58418446166</v>
      </c>
      <c r="I9" s="31" t="n">
        <f aca="false">F9-G9+H9</f>
        <v>42579.5841844617</v>
      </c>
      <c r="J9" s="31" t="n">
        <f aca="false">J8+I9</f>
        <v>558496.421076794</v>
      </c>
      <c r="K9" s="31" t="n">
        <f aca="false">J9*12</f>
        <v>6701957.05292152</v>
      </c>
    </row>
    <row r="10" customFormat="false" ht="15" hidden="false" customHeight="false" outlineLevel="0" collapsed="false">
      <c r="A10" s="29" t="n">
        <v>8</v>
      </c>
      <c r="B10" s="29" t="s">
        <v>95</v>
      </c>
      <c r="C10" s="30" t="n">
        <f aca="false">IF(A10&lt;=12,Assumptions!$B$5,IF(A10&lt;=24,Assumptions!$B$8,Assumptions!$B$9))</f>
        <v>10</v>
      </c>
      <c r="D10" s="30" t="n">
        <f aca="false">ROUND(E9*Assumptions!$B$13,0)</f>
        <v>2</v>
      </c>
      <c r="E10" s="30" t="n">
        <f aca="false">E9+C10-D10</f>
        <v>117</v>
      </c>
      <c r="F10" s="31" t="n">
        <f aca="false">C10*Assumptions!$B$12</f>
        <v>50000</v>
      </c>
      <c r="G10" s="31" t="n">
        <f aca="false">D10*Assumptions!$B$12</f>
        <v>10000</v>
      </c>
      <c r="H10" s="31" t="n">
        <f aca="false">J9*Assumptions!$B$14</f>
        <v>2792.48210538397</v>
      </c>
      <c r="I10" s="31" t="n">
        <f aca="false">F10-G10+H10</f>
        <v>42792.482105384</v>
      </c>
      <c r="J10" s="31" t="n">
        <f aca="false">J9+I10</f>
        <v>601288.903182178</v>
      </c>
      <c r="K10" s="31" t="n">
        <f aca="false">J10*12</f>
        <v>7215466.83818613</v>
      </c>
    </row>
    <row r="11" customFormat="false" ht="15" hidden="false" customHeight="false" outlineLevel="0" collapsed="false">
      <c r="A11" s="29" t="n">
        <v>9</v>
      </c>
      <c r="B11" s="29" t="s">
        <v>96</v>
      </c>
      <c r="C11" s="30" t="n">
        <f aca="false">IF(A11&lt;=12,Assumptions!$B$5,IF(A11&lt;=24,Assumptions!$B$8,Assumptions!$B$9))</f>
        <v>10</v>
      </c>
      <c r="D11" s="30" t="n">
        <f aca="false">ROUND(E10*Assumptions!$B$13,0)</f>
        <v>2</v>
      </c>
      <c r="E11" s="30" t="n">
        <f aca="false">E10+C11-D11</f>
        <v>125</v>
      </c>
      <c r="F11" s="31" t="n">
        <f aca="false">C11*Assumptions!$B$12</f>
        <v>50000</v>
      </c>
      <c r="G11" s="31" t="n">
        <f aca="false">D11*Assumptions!$B$12</f>
        <v>10000</v>
      </c>
      <c r="H11" s="31" t="n">
        <f aca="false">J10*Assumptions!$B$14</f>
        <v>3006.44451591089</v>
      </c>
      <c r="I11" s="31" t="n">
        <f aca="false">F11-G11+H11</f>
        <v>43006.4445159109</v>
      </c>
      <c r="J11" s="31" t="n">
        <f aca="false">J10+I11</f>
        <v>644295.347698089</v>
      </c>
      <c r="K11" s="31" t="n">
        <f aca="false">J11*12</f>
        <v>7731544.17237706</v>
      </c>
    </row>
    <row r="12" customFormat="false" ht="15" hidden="false" customHeight="false" outlineLevel="0" collapsed="false">
      <c r="A12" s="29" t="n">
        <v>10</v>
      </c>
      <c r="B12" s="29" t="s">
        <v>97</v>
      </c>
      <c r="C12" s="30" t="n">
        <f aca="false">IF(A12&lt;=12,Assumptions!$B$5,IF(A12&lt;=24,Assumptions!$B$8,Assumptions!$B$9))</f>
        <v>10</v>
      </c>
      <c r="D12" s="30" t="n">
        <f aca="false">ROUND(E11*Assumptions!$B$13,0)</f>
        <v>3</v>
      </c>
      <c r="E12" s="30" t="n">
        <f aca="false">E11+C12-D12</f>
        <v>132</v>
      </c>
      <c r="F12" s="31" t="n">
        <f aca="false">C12*Assumptions!$B$12</f>
        <v>50000</v>
      </c>
      <c r="G12" s="31" t="n">
        <f aca="false">D12*Assumptions!$B$12</f>
        <v>15000</v>
      </c>
      <c r="H12" s="31" t="n">
        <f aca="false">J11*Assumptions!$B$14</f>
        <v>3221.47673849044</v>
      </c>
      <c r="I12" s="31" t="n">
        <f aca="false">F12-G12+H12</f>
        <v>38221.4767384904</v>
      </c>
      <c r="J12" s="31" t="n">
        <f aca="false">J11+I12</f>
        <v>682516.824436579</v>
      </c>
      <c r="K12" s="31" t="n">
        <f aca="false">J12*12</f>
        <v>8190201.89323895</v>
      </c>
    </row>
    <row r="13" customFormat="false" ht="15" hidden="false" customHeight="false" outlineLevel="0" collapsed="false">
      <c r="A13" s="29" t="n">
        <v>11</v>
      </c>
      <c r="B13" s="29" t="s">
        <v>98</v>
      </c>
      <c r="C13" s="30" t="n">
        <f aca="false">IF(A13&lt;=12,Assumptions!$B$5,IF(A13&lt;=24,Assumptions!$B$8,Assumptions!$B$9))</f>
        <v>10</v>
      </c>
      <c r="D13" s="30" t="n">
        <f aca="false">ROUND(E12*Assumptions!$B$13,0)</f>
        <v>3</v>
      </c>
      <c r="E13" s="30" t="n">
        <f aca="false">E12+C13-D13</f>
        <v>139</v>
      </c>
      <c r="F13" s="31" t="n">
        <f aca="false">C13*Assumptions!$B$12</f>
        <v>50000</v>
      </c>
      <c r="G13" s="31" t="n">
        <f aca="false">D13*Assumptions!$B$12</f>
        <v>15000</v>
      </c>
      <c r="H13" s="31" t="n">
        <f aca="false">J12*Assumptions!$B$14</f>
        <v>3412.5841221829</v>
      </c>
      <c r="I13" s="31" t="n">
        <f aca="false">F13-G13+H13</f>
        <v>38412.5841221829</v>
      </c>
      <c r="J13" s="31" t="n">
        <f aca="false">J12+I13</f>
        <v>720929.408558762</v>
      </c>
      <c r="K13" s="31" t="n">
        <f aca="false">J13*12</f>
        <v>8651152.90270514</v>
      </c>
    </row>
    <row r="14" customFormat="false" ht="15" hidden="false" customHeight="false" outlineLevel="0" collapsed="false">
      <c r="A14" s="29" t="n">
        <v>12</v>
      </c>
      <c r="B14" s="29" t="s">
        <v>99</v>
      </c>
      <c r="C14" s="30" t="n">
        <f aca="false">IF(A14&lt;=12,Assumptions!$B$5,IF(A14&lt;=24,Assumptions!$B$8,Assumptions!$B$9))</f>
        <v>10</v>
      </c>
      <c r="D14" s="30" t="n">
        <f aca="false">ROUND(E13*Assumptions!$B$13,0)</f>
        <v>3</v>
      </c>
      <c r="E14" s="30" t="n">
        <f aca="false">E13+C14-D14</f>
        <v>146</v>
      </c>
      <c r="F14" s="31" t="n">
        <f aca="false">C14*Assumptions!$B$12</f>
        <v>50000</v>
      </c>
      <c r="G14" s="31" t="n">
        <f aca="false">D14*Assumptions!$B$12</f>
        <v>15000</v>
      </c>
      <c r="H14" s="31" t="n">
        <f aca="false">J13*Assumptions!$B$14</f>
        <v>3604.64704279381</v>
      </c>
      <c r="I14" s="31" t="n">
        <f aca="false">F14-G14+H14</f>
        <v>38604.6470427938</v>
      </c>
      <c r="J14" s="31" t="n">
        <f aca="false">J13+I14</f>
        <v>759534.055601556</v>
      </c>
      <c r="K14" s="31" t="n">
        <f aca="false">J14*12</f>
        <v>9114408.66721867</v>
      </c>
    </row>
    <row r="15" customFormat="false" ht="15" hidden="false" customHeight="false" outlineLevel="0" collapsed="false">
      <c r="A15" s="32" t="n">
        <v>13</v>
      </c>
      <c r="B15" s="32" t="s">
        <v>100</v>
      </c>
      <c r="C15" s="33" t="n">
        <f aca="false">IF(A15&lt;=12,Assumptions!$B$5,IF(A15&lt;=24,Assumptions!$B$8,Assumptions!$B$9))</f>
        <v>12</v>
      </c>
      <c r="D15" s="33" t="n">
        <f aca="false">ROUND(E14*Assumptions!$B$13,0)</f>
        <v>3</v>
      </c>
      <c r="E15" s="33" t="n">
        <f aca="false">E14+C15-D15</f>
        <v>155</v>
      </c>
      <c r="F15" s="34" t="n">
        <f aca="false">C15*Assumptions!$B$12</f>
        <v>60000</v>
      </c>
      <c r="G15" s="34" t="n">
        <f aca="false">D15*Assumptions!$B$12</f>
        <v>15000</v>
      </c>
      <c r="H15" s="34" t="n">
        <f aca="false">J14*Assumptions!$B$14</f>
        <v>3797.67027800778</v>
      </c>
      <c r="I15" s="34" t="n">
        <f aca="false">F15-G15+H15</f>
        <v>48797.6702780078</v>
      </c>
      <c r="J15" s="34" t="n">
        <f aca="false">J14+I15</f>
        <v>808331.725879564</v>
      </c>
      <c r="K15" s="34" t="n">
        <f aca="false">J15*12</f>
        <v>9699980.71055476</v>
      </c>
    </row>
    <row r="16" customFormat="false" ht="15" hidden="false" customHeight="false" outlineLevel="0" collapsed="false">
      <c r="A16" s="32" t="n">
        <v>14</v>
      </c>
      <c r="B16" s="32" t="s">
        <v>101</v>
      </c>
      <c r="C16" s="33" t="n">
        <f aca="false">IF(A16&lt;=12,Assumptions!$B$5,IF(A16&lt;=24,Assumptions!$B$8,Assumptions!$B$9))</f>
        <v>12</v>
      </c>
      <c r="D16" s="33" t="n">
        <f aca="false">ROUND(E15*Assumptions!$B$13,0)</f>
        <v>3</v>
      </c>
      <c r="E16" s="33" t="n">
        <f aca="false">E15+C16-D16</f>
        <v>164</v>
      </c>
      <c r="F16" s="34" t="n">
        <f aca="false">C16*Assumptions!$B$12</f>
        <v>60000</v>
      </c>
      <c r="G16" s="34" t="n">
        <f aca="false">D16*Assumptions!$B$12</f>
        <v>15000</v>
      </c>
      <c r="H16" s="34" t="n">
        <f aca="false">J15*Assumptions!$B$14</f>
        <v>4041.65862939782</v>
      </c>
      <c r="I16" s="34" t="n">
        <f aca="false">F16-G16+H16</f>
        <v>49041.6586293978</v>
      </c>
      <c r="J16" s="34" t="n">
        <f aca="false">J15+I16</f>
        <v>857373.384508961</v>
      </c>
      <c r="K16" s="34" t="n">
        <f aca="false">J16*12</f>
        <v>10288480.6141075</v>
      </c>
    </row>
    <row r="17" customFormat="false" ht="15" hidden="false" customHeight="false" outlineLevel="0" collapsed="false">
      <c r="A17" s="32" t="n">
        <v>15</v>
      </c>
      <c r="B17" s="32" t="s">
        <v>102</v>
      </c>
      <c r="C17" s="33" t="n">
        <f aca="false">IF(A17&lt;=12,Assumptions!$B$5,IF(A17&lt;=24,Assumptions!$B$8,Assumptions!$B$9))</f>
        <v>12</v>
      </c>
      <c r="D17" s="33" t="n">
        <f aca="false">ROUND(E16*Assumptions!$B$13,0)</f>
        <v>3</v>
      </c>
      <c r="E17" s="33" t="n">
        <f aca="false">E16+C17-D17</f>
        <v>173</v>
      </c>
      <c r="F17" s="34" t="n">
        <f aca="false">C17*Assumptions!$B$12</f>
        <v>60000</v>
      </c>
      <c r="G17" s="34" t="n">
        <f aca="false">D17*Assumptions!$B$12</f>
        <v>15000</v>
      </c>
      <c r="H17" s="34" t="n">
        <f aca="false">J16*Assumptions!$B$14</f>
        <v>4286.86692254481</v>
      </c>
      <c r="I17" s="34" t="n">
        <f aca="false">F17-G17+H17</f>
        <v>49286.8669225448</v>
      </c>
      <c r="J17" s="34" t="n">
        <f aca="false">J16+I17</f>
        <v>906660.251431506</v>
      </c>
      <c r="K17" s="34" t="n">
        <f aca="false">J17*12</f>
        <v>10879923.0171781</v>
      </c>
    </row>
    <row r="18" customFormat="false" ht="15" hidden="false" customHeight="false" outlineLevel="0" collapsed="false">
      <c r="A18" s="32" t="n">
        <v>16</v>
      </c>
      <c r="B18" s="32" t="s">
        <v>103</v>
      </c>
      <c r="C18" s="33" t="n">
        <f aca="false">IF(A18&lt;=12,Assumptions!$B$5,IF(A18&lt;=24,Assumptions!$B$8,Assumptions!$B$9))</f>
        <v>12</v>
      </c>
      <c r="D18" s="33" t="n">
        <f aca="false">ROUND(E17*Assumptions!$B$13,0)</f>
        <v>3</v>
      </c>
      <c r="E18" s="33" t="n">
        <f aca="false">E17+C18-D18</f>
        <v>182</v>
      </c>
      <c r="F18" s="34" t="n">
        <f aca="false">C18*Assumptions!$B$12</f>
        <v>60000</v>
      </c>
      <c r="G18" s="34" t="n">
        <f aca="false">D18*Assumptions!$B$12</f>
        <v>15000</v>
      </c>
      <c r="H18" s="34" t="n">
        <f aca="false">J17*Assumptions!$B$14</f>
        <v>4533.30125715753</v>
      </c>
      <c r="I18" s="34" t="n">
        <f aca="false">F18-G18+H18</f>
        <v>49533.3012571575</v>
      </c>
      <c r="J18" s="34" t="n">
        <f aca="false">J17+I18</f>
        <v>956193.552688664</v>
      </c>
      <c r="K18" s="34" t="n">
        <f aca="false">J18*12</f>
        <v>11474322.632264</v>
      </c>
    </row>
    <row r="19" customFormat="false" ht="15" hidden="false" customHeight="false" outlineLevel="0" collapsed="false">
      <c r="A19" s="32" t="n">
        <v>17</v>
      </c>
      <c r="B19" s="32" t="s">
        <v>104</v>
      </c>
      <c r="C19" s="33" t="n">
        <f aca="false">IF(A19&lt;=12,Assumptions!$B$5,IF(A19&lt;=24,Assumptions!$B$8,Assumptions!$B$9))</f>
        <v>12</v>
      </c>
      <c r="D19" s="33" t="n">
        <f aca="false">ROUND(E18*Assumptions!$B$13,0)</f>
        <v>4</v>
      </c>
      <c r="E19" s="33" t="n">
        <f aca="false">E18+C19-D19</f>
        <v>190</v>
      </c>
      <c r="F19" s="34" t="n">
        <f aca="false">C19*Assumptions!$B$12</f>
        <v>60000</v>
      </c>
      <c r="G19" s="34" t="n">
        <f aca="false">D19*Assumptions!$B$12</f>
        <v>20000</v>
      </c>
      <c r="H19" s="34" t="n">
        <f aca="false">J18*Assumptions!$B$14</f>
        <v>4780.96776344332</v>
      </c>
      <c r="I19" s="34" t="n">
        <f aca="false">F19-G19+H19</f>
        <v>44780.9677634433</v>
      </c>
      <c r="J19" s="34" t="n">
        <f aca="false">J18+I19</f>
        <v>1000974.52045211</v>
      </c>
      <c r="K19" s="34" t="n">
        <f aca="false">J19*12</f>
        <v>12011694.2454253</v>
      </c>
    </row>
    <row r="20" customFormat="false" ht="15" hidden="false" customHeight="false" outlineLevel="0" collapsed="false">
      <c r="A20" s="32" t="n">
        <v>18</v>
      </c>
      <c r="B20" s="32" t="s">
        <v>105</v>
      </c>
      <c r="C20" s="33" t="n">
        <f aca="false">IF(A20&lt;=12,Assumptions!$B$5,IF(A20&lt;=24,Assumptions!$B$8,Assumptions!$B$9))</f>
        <v>12</v>
      </c>
      <c r="D20" s="33" t="n">
        <f aca="false">ROUND(E19*Assumptions!$B$13,0)</f>
        <v>4</v>
      </c>
      <c r="E20" s="33" t="n">
        <f aca="false">E19+C20-D20</f>
        <v>198</v>
      </c>
      <c r="F20" s="34" t="n">
        <f aca="false">C20*Assumptions!$B$12</f>
        <v>60000</v>
      </c>
      <c r="G20" s="34" t="n">
        <f aca="false">D20*Assumptions!$B$12</f>
        <v>20000</v>
      </c>
      <c r="H20" s="34" t="n">
        <f aca="false">J19*Assumptions!$B$14</f>
        <v>5004.87260226054</v>
      </c>
      <c r="I20" s="34" t="n">
        <f aca="false">F20-G20+H20</f>
        <v>45004.8726022605</v>
      </c>
      <c r="J20" s="34" t="n">
        <f aca="false">J19+I20</f>
        <v>1045979.39305437</v>
      </c>
      <c r="K20" s="34" t="n">
        <f aca="false">J20*12</f>
        <v>12551752.7166524</v>
      </c>
    </row>
    <row r="21" customFormat="false" ht="15" hidden="false" customHeight="false" outlineLevel="0" collapsed="false">
      <c r="A21" s="32" t="n">
        <v>19</v>
      </c>
      <c r="B21" s="32" t="s">
        <v>106</v>
      </c>
      <c r="C21" s="33" t="n">
        <f aca="false">IF(A21&lt;=12,Assumptions!$B$5,IF(A21&lt;=24,Assumptions!$B$8,Assumptions!$B$9))</f>
        <v>12</v>
      </c>
      <c r="D21" s="33" t="n">
        <f aca="false">ROUND(E20*Assumptions!$B$13,0)</f>
        <v>4</v>
      </c>
      <c r="E21" s="33" t="n">
        <f aca="false">E20+C21-D21</f>
        <v>206</v>
      </c>
      <c r="F21" s="34" t="n">
        <f aca="false">C21*Assumptions!$B$12</f>
        <v>60000</v>
      </c>
      <c r="G21" s="34" t="n">
        <f aca="false">D21*Assumptions!$B$12</f>
        <v>20000</v>
      </c>
      <c r="H21" s="34" t="n">
        <f aca="false">J20*Assumptions!$B$14</f>
        <v>5229.89696527184</v>
      </c>
      <c r="I21" s="34" t="n">
        <f aca="false">F21-G21+H21</f>
        <v>45229.8969652718</v>
      </c>
      <c r="J21" s="34" t="n">
        <f aca="false">J20+I21</f>
        <v>1091209.29001964</v>
      </c>
      <c r="K21" s="34" t="n">
        <f aca="false">J21*12</f>
        <v>13094511.4802357</v>
      </c>
    </row>
    <row r="22" customFormat="false" ht="15" hidden="false" customHeight="false" outlineLevel="0" collapsed="false">
      <c r="A22" s="32" t="n">
        <v>20</v>
      </c>
      <c r="B22" s="32" t="s">
        <v>107</v>
      </c>
      <c r="C22" s="33" t="n">
        <f aca="false">IF(A22&lt;=12,Assumptions!$B$5,IF(A22&lt;=24,Assumptions!$B$8,Assumptions!$B$9))</f>
        <v>12</v>
      </c>
      <c r="D22" s="33" t="n">
        <f aca="false">ROUND(E21*Assumptions!$B$13,0)</f>
        <v>4</v>
      </c>
      <c r="E22" s="33" t="n">
        <f aca="false">E21+C22-D22</f>
        <v>214</v>
      </c>
      <c r="F22" s="34" t="n">
        <f aca="false">C22*Assumptions!$B$12</f>
        <v>60000</v>
      </c>
      <c r="G22" s="34" t="n">
        <f aca="false">D22*Assumptions!$B$12</f>
        <v>20000</v>
      </c>
      <c r="H22" s="34" t="n">
        <f aca="false">J21*Assumptions!$B$14</f>
        <v>5456.0464500982</v>
      </c>
      <c r="I22" s="34" t="n">
        <f aca="false">F22-G22+H22</f>
        <v>45456.0464500982</v>
      </c>
      <c r="J22" s="34" t="n">
        <f aca="false">J21+I22</f>
        <v>1136665.33646974</v>
      </c>
      <c r="K22" s="34" t="n">
        <f aca="false">J22*12</f>
        <v>13639984.0376369</v>
      </c>
    </row>
    <row r="23" customFormat="false" ht="15" hidden="false" customHeight="false" outlineLevel="0" collapsed="false">
      <c r="A23" s="32" t="n">
        <v>21</v>
      </c>
      <c r="B23" s="32" t="s">
        <v>108</v>
      </c>
      <c r="C23" s="33" t="n">
        <f aca="false">IF(A23&lt;=12,Assumptions!$B$5,IF(A23&lt;=24,Assumptions!$B$8,Assumptions!$B$9))</f>
        <v>12</v>
      </c>
      <c r="D23" s="33" t="n">
        <f aca="false">ROUND(E22*Assumptions!$B$13,0)</f>
        <v>4</v>
      </c>
      <c r="E23" s="33" t="n">
        <f aca="false">E22+C23-D23</f>
        <v>222</v>
      </c>
      <c r="F23" s="34" t="n">
        <f aca="false">C23*Assumptions!$B$12</f>
        <v>60000</v>
      </c>
      <c r="G23" s="34" t="n">
        <f aca="false">D23*Assumptions!$B$12</f>
        <v>20000</v>
      </c>
      <c r="H23" s="34" t="n">
        <f aca="false">J22*Assumptions!$B$14</f>
        <v>5683.32668234869</v>
      </c>
      <c r="I23" s="34" t="n">
        <f aca="false">F23-G23+H23</f>
        <v>45683.3266823487</v>
      </c>
      <c r="J23" s="34" t="n">
        <f aca="false">J22+I23</f>
        <v>1182348.66315209</v>
      </c>
      <c r="K23" s="34" t="n">
        <f aca="false">J23*12</f>
        <v>14188183.957825</v>
      </c>
    </row>
    <row r="24" customFormat="false" ht="15" hidden="false" customHeight="false" outlineLevel="0" collapsed="false">
      <c r="A24" s="32" t="n">
        <v>22</v>
      </c>
      <c r="B24" s="32" t="s">
        <v>109</v>
      </c>
      <c r="C24" s="33" t="n">
        <f aca="false">IF(A24&lt;=12,Assumptions!$B$5,IF(A24&lt;=24,Assumptions!$B$8,Assumptions!$B$9))</f>
        <v>12</v>
      </c>
      <c r="D24" s="33" t="n">
        <f aca="false">ROUND(E23*Assumptions!$B$13,0)</f>
        <v>4</v>
      </c>
      <c r="E24" s="33" t="n">
        <f aca="false">E23+C24-D24</f>
        <v>230</v>
      </c>
      <c r="F24" s="34" t="n">
        <f aca="false">C24*Assumptions!$B$12</f>
        <v>60000</v>
      </c>
      <c r="G24" s="34" t="n">
        <f aca="false">D24*Assumptions!$B$12</f>
        <v>20000</v>
      </c>
      <c r="H24" s="34" t="n">
        <f aca="false">J23*Assumptions!$B$14</f>
        <v>5911.74331576043</v>
      </c>
      <c r="I24" s="34" t="n">
        <f aca="false">F24-G24+H24</f>
        <v>45911.7433157604</v>
      </c>
      <c r="J24" s="34" t="n">
        <f aca="false">J23+I24</f>
        <v>1228260.40646785</v>
      </c>
      <c r="K24" s="34" t="n">
        <f aca="false">J24*12</f>
        <v>14739124.8776142</v>
      </c>
    </row>
    <row r="25" customFormat="false" ht="15" hidden="false" customHeight="false" outlineLevel="0" collapsed="false">
      <c r="A25" s="32" t="n">
        <v>23</v>
      </c>
      <c r="B25" s="32" t="s">
        <v>110</v>
      </c>
      <c r="C25" s="33" t="n">
        <f aca="false">IF(A25&lt;=12,Assumptions!$B$5,IF(A25&lt;=24,Assumptions!$B$8,Assumptions!$B$9))</f>
        <v>12</v>
      </c>
      <c r="D25" s="33" t="n">
        <f aca="false">ROUND(E24*Assumptions!$B$13,0)</f>
        <v>5</v>
      </c>
      <c r="E25" s="33" t="n">
        <f aca="false">E24+C25-D25</f>
        <v>237</v>
      </c>
      <c r="F25" s="34" t="n">
        <f aca="false">C25*Assumptions!$B$12</f>
        <v>60000</v>
      </c>
      <c r="G25" s="34" t="n">
        <f aca="false">D25*Assumptions!$B$12</f>
        <v>25000</v>
      </c>
      <c r="H25" s="34" t="n">
        <f aca="false">J24*Assumptions!$B$14</f>
        <v>6141.30203233924</v>
      </c>
      <c r="I25" s="34" t="n">
        <f aca="false">F25-G25+H25</f>
        <v>41141.3020323392</v>
      </c>
      <c r="J25" s="34" t="n">
        <f aca="false">J24+I25</f>
        <v>1269401.70850019</v>
      </c>
      <c r="K25" s="34" t="n">
        <f aca="false">J25*12</f>
        <v>15232820.5020022</v>
      </c>
    </row>
    <row r="26" customFormat="false" ht="15" hidden="false" customHeight="false" outlineLevel="0" collapsed="false">
      <c r="A26" s="32" t="n">
        <v>24</v>
      </c>
      <c r="B26" s="32" t="s">
        <v>111</v>
      </c>
      <c r="C26" s="33" t="n">
        <f aca="false">IF(A26&lt;=12,Assumptions!$B$5,IF(A26&lt;=24,Assumptions!$B$8,Assumptions!$B$9))</f>
        <v>12</v>
      </c>
      <c r="D26" s="33" t="n">
        <f aca="false">ROUND(E25*Assumptions!$B$13,0)</f>
        <v>5</v>
      </c>
      <c r="E26" s="33" t="n">
        <f aca="false">E25+C26-D26</f>
        <v>244</v>
      </c>
      <c r="F26" s="34" t="n">
        <f aca="false">C26*Assumptions!$B$12</f>
        <v>60000</v>
      </c>
      <c r="G26" s="34" t="n">
        <f aca="false">D26*Assumptions!$B$12</f>
        <v>25000</v>
      </c>
      <c r="H26" s="34" t="n">
        <f aca="false">J25*Assumptions!$B$14</f>
        <v>6347.00854250093</v>
      </c>
      <c r="I26" s="34" t="n">
        <f aca="false">F26-G26+H26</f>
        <v>41347.0085425009</v>
      </c>
      <c r="J26" s="34" t="n">
        <f aca="false">J25+I26</f>
        <v>1310748.71704269</v>
      </c>
      <c r="K26" s="34" t="n">
        <f aca="false">J26*12</f>
        <v>15728984.6045122</v>
      </c>
    </row>
    <row r="27" customFormat="false" ht="15" hidden="false" customHeight="false" outlineLevel="0" collapsed="false">
      <c r="A27" s="35" t="n">
        <v>25</v>
      </c>
      <c r="B27" s="35" t="s">
        <v>112</v>
      </c>
      <c r="C27" s="36" t="n">
        <f aca="false">IF(A27&lt;=12,Assumptions!$B$5,IF(A27&lt;=24,Assumptions!$B$8,Assumptions!$B$9))</f>
        <v>14</v>
      </c>
      <c r="D27" s="36" t="n">
        <f aca="false">ROUND(E26*Assumptions!$B$13,0)</f>
        <v>5</v>
      </c>
      <c r="E27" s="36" t="n">
        <f aca="false">E26+C27-D27</f>
        <v>253</v>
      </c>
      <c r="F27" s="37" t="n">
        <f aca="false">C27*Assumptions!$B$12</f>
        <v>70000</v>
      </c>
      <c r="G27" s="37" t="n">
        <f aca="false">D27*Assumptions!$B$12</f>
        <v>25000</v>
      </c>
      <c r="H27" s="37" t="n">
        <f aca="false">J26*Assumptions!$B$14</f>
        <v>6553.74358521344</v>
      </c>
      <c r="I27" s="37" t="n">
        <f aca="false">F27-G27+H27</f>
        <v>51553.7435852134</v>
      </c>
      <c r="J27" s="37" t="n">
        <f aca="false">J26+I27</f>
        <v>1362302.4606279</v>
      </c>
      <c r="K27" s="37" t="n">
        <f aca="false">J27*12</f>
        <v>16347629.5275348</v>
      </c>
    </row>
    <row r="28" customFormat="false" ht="15" hidden="false" customHeight="false" outlineLevel="0" collapsed="false">
      <c r="A28" s="35" t="n">
        <v>26</v>
      </c>
      <c r="B28" s="35" t="s">
        <v>113</v>
      </c>
      <c r="C28" s="36" t="n">
        <f aca="false">IF(A28&lt;=12,Assumptions!$B$5,IF(A28&lt;=24,Assumptions!$B$8,Assumptions!$B$9))</f>
        <v>14</v>
      </c>
      <c r="D28" s="36" t="n">
        <f aca="false">ROUND(E27*Assumptions!$B$13,0)</f>
        <v>5</v>
      </c>
      <c r="E28" s="36" t="n">
        <f aca="false">E27+C28-D28</f>
        <v>262</v>
      </c>
      <c r="F28" s="37" t="n">
        <f aca="false">C28*Assumptions!$B$12</f>
        <v>70000</v>
      </c>
      <c r="G28" s="37" t="n">
        <f aca="false">D28*Assumptions!$B$12</f>
        <v>25000</v>
      </c>
      <c r="H28" s="37" t="n">
        <f aca="false">J27*Assumptions!$B$14</f>
        <v>6811.5123031395</v>
      </c>
      <c r="I28" s="37" t="n">
        <f aca="false">F28-G28+H28</f>
        <v>51811.5123031395</v>
      </c>
      <c r="J28" s="37" t="n">
        <f aca="false">J27+I28</f>
        <v>1414113.97293104</v>
      </c>
      <c r="K28" s="37" t="n">
        <f aca="false">J28*12</f>
        <v>16969367.6751725</v>
      </c>
    </row>
    <row r="29" customFormat="false" ht="15" hidden="false" customHeight="false" outlineLevel="0" collapsed="false">
      <c r="A29" s="35" t="n">
        <v>27</v>
      </c>
      <c r="B29" s="35" t="s">
        <v>114</v>
      </c>
      <c r="C29" s="36" t="n">
        <f aca="false">IF(A29&lt;=12,Assumptions!$B$5,IF(A29&lt;=24,Assumptions!$B$8,Assumptions!$B$9))</f>
        <v>14</v>
      </c>
      <c r="D29" s="36" t="n">
        <f aca="false">ROUND(E28*Assumptions!$B$13,0)</f>
        <v>5</v>
      </c>
      <c r="E29" s="36" t="n">
        <f aca="false">E28+C29-D29</f>
        <v>271</v>
      </c>
      <c r="F29" s="37" t="n">
        <f aca="false">C29*Assumptions!$B$12</f>
        <v>70000</v>
      </c>
      <c r="G29" s="37" t="n">
        <f aca="false">D29*Assumptions!$B$12</f>
        <v>25000</v>
      </c>
      <c r="H29" s="37" t="n">
        <f aca="false">J28*Assumptions!$B$14</f>
        <v>7070.5698646552</v>
      </c>
      <c r="I29" s="37" t="n">
        <f aca="false">F29-G29+H29</f>
        <v>52070.5698646552</v>
      </c>
      <c r="J29" s="37" t="n">
        <f aca="false">J28+I29</f>
        <v>1466184.5427957</v>
      </c>
      <c r="K29" s="37" t="n">
        <f aca="false">J29*12</f>
        <v>17594214.5135483</v>
      </c>
    </row>
    <row r="30" customFormat="false" ht="15" hidden="false" customHeight="false" outlineLevel="0" collapsed="false">
      <c r="A30" s="35" t="n">
        <v>28</v>
      </c>
      <c r="B30" s="35" t="s">
        <v>115</v>
      </c>
      <c r="C30" s="36" t="n">
        <f aca="false">IF(A30&lt;=12,Assumptions!$B$5,IF(A30&lt;=24,Assumptions!$B$8,Assumptions!$B$9))</f>
        <v>14</v>
      </c>
      <c r="D30" s="36" t="n">
        <f aca="false">ROUND(E29*Assumptions!$B$13,0)</f>
        <v>5</v>
      </c>
      <c r="E30" s="36" t="n">
        <f aca="false">E29+C30-D30</f>
        <v>280</v>
      </c>
      <c r="F30" s="37" t="n">
        <f aca="false">C30*Assumptions!$B$12</f>
        <v>70000</v>
      </c>
      <c r="G30" s="37" t="n">
        <f aca="false">D30*Assumptions!$B$12</f>
        <v>25000</v>
      </c>
      <c r="H30" s="37" t="n">
        <f aca="false">J29*Assumptions!$B$14</f>
        <v>7330.92271397848</v>
      </c>
      <c r="I30" s="37" t="n">
        <f aca="false">F30-G30+H30</f>
        <v>52330.9227139785</v>
      </c>
      <c r="J30" s="37" t="n">
        <f aca="false">J29+I30</f>
        <v>1518515.46550967</v>
      </c>
      <c r="K30" s="37" t="n">
        <f aca="false">J30*12</f>
        <v>18222185.5861161</v>
      </c>
    </row>
    <row r="31" customFormat="false" ht="15" hidden="false" customHeight="false" outlineLevel="0" collapsed="false">
      <c r="A31" s="35" t="n">
        <v>29</v>
      </c>
      <c r="B31" s="35" t="s">
        <v>116</v>
      </c>
      <c r="C31" s="36" t="n">
        <f aca="false">IF(A31&lt;=12,Assumptions!$B$5,IF(A31&lt;=24,Assumptions!$B$8,Assumptions!$B$9))</f>
        <v>14</v>
      </c>
      <c r="D31" s="36" t="n">
        <f aca="false">ROUND(E30*Assumptions!$B$13,0)</f>
        <v>6</v>
      </c>
      <c r="E31" s="36" t="n">
        <f aca="false">E30+C31-D31</f>
        <v>288</v>
      </c>
      <c r="F31" s="37" t="n">
        <f aca="false">C31*Assumptions!$B$12</f>
        <v>70000</v>
      </c>
      <c r="G31" s="37" t="n">
        <f aca="false">D31*Assumptions!$B$12</f>
        <v>30000</v>
      </c>
      <c r="H31" s="37" t="n">
        <f aca="false">J30*Assumptions!$B$14</f>
        <v>7592.57732754837</v>
      </c>
      <c r="I31" s="37" t="n">
        <f aca="false">F31-G31+H31</f>
        <v>47592.5773275484</v>
      </c>
      <c r="J31" s="37" t="n">
        <f aca="false">J30+I31</f>
        <v>1566108.04283722</v>
      </c>
      <c r="K31" s="37" t="n">
        <f aca="false">J31*12</f>
        <v>18793296.5140467</v>
      </c>
    </row>
    <row r="32" customFormat="false" ht="15" hidden="false" customHeight="false" outlineLevel="0" collapsed="false">
      <c r="A32" s="35" t="n">
        <v>30</v>
      </c>
      <c r="B32" s="35" t="s">
        <v>117</v>
      </c>
      <c r="C32" s="36" t="n">
        <f aca="false">IF(A32&lt;=12,Assumptions!$B$5,IF(A32&lt;=24,Assumptions!$B$8,Assumptions!$B$9))</f>
        <v>14</v>
      </c>
      <c r="D32" s="36" t="n">
        <f aca="false">ROUND(E31*Assumptions!$B$13,0)</f>
        <v>6</v>
      </c>
      <c r="E32" s="36" t="n">
        <f aca="false">E31+C32-D32</f>
        <v>296</v>
      </c>
      <c r="F32" s="37" t="n">
        <f aca="false">C32*Assumptions!$B$12</f>
        <v>70000</v>
      </c>
      <c r="G32" s="37" t="n">
        <f aca="false">D32*Assumptions!$B$12</f>
        <v>30000</v>
      </c>
      <c r="H32" s="37" t="n">
        <f aca="false">J31*Assumptions!$B$14</f>
        <v>7830.54021418611</v>
      </c>
      <c r="I32" s="37" t="n">
        <f aca="false">F32-G32+H32</f>
        <v>47830.5402141861</v>
      </c>
      <c r="J32" s="37" t="n">
        <f aca="false">J31+I32</f>
        <v>1613938.58305141</v>
      </c>
      <c r="K32" s="37" t="n">
        <f aca="false">J32*12</f>
        <v>19367262.9966169</v>
      </c>
    </row>
    <row r="33" customFormat="false" ht="15" hidden="false" customHeight="false" outlineLevel="0" collapsed="false">
      <c r="A33" s="35" t="n">
        <v>31</v>
      </c>
      <c r="B33" s="35" t="s">
        <v>118</v>
      </c>
      <c r="C33" s="36" t="n">
        <f aca="false">IF(A33&lt;=12,Assumptions!$B$5,IF(A33&lt;=24,Assumptions!$B$8,Assumptions!$B$9))</f>
        <v>14</v>
      </c>
      <c r="D33" s="36" t="n">
        <f aca="false">ROUND(E32*Assumptions!$B$13,0)</f>
        <v>6</v>
      </c>
      <c r="E33" s="36" t="n">
        <f aca="false">E32+C33-D33</f>
        <v>304</v>
      </c>
      <c r="F33" s="37" t="n">
        <f aca="false">C33*Assumptions!$B$12</f>
        <v>70000</v>
      </c>
      <c r="G33" s="37" t="n">
        <f aca="false">D33*Assumptions!$B$12</f>
        <v>30000</v>
      </c>
      <c r="H33" s="37" t="n">
        <f aca="false">J32*Assumptions!$B$14</f>
        <v>8069.69291525704</v>
      </c>
      <c r="I33" s="37" t="n">
        <f aca="false">F33-G33+H33</f>
        <v>48069.692915257</v>
      </c>
      <c r="J33" s="37" t="n">
        <f aca="false">J32+I33</f>
        <v>1662008.27596667</v>
      </c>
      <c r="K33" s="37" t="n">
        <f aca="false">J33*12</f>
        <v>19944099.3116</v>
      </c>
    </row>
    <row r="34" customFormat="false" ht="15" hidden="false" customHeight="false" outlineLevel="0" collapsed="false">
      <c r="A34" s="35" t="n">
        <v>32</v>
      </c>
      <c r="B34" s="35" t="s">
        <v>119</v>
      </c>
      <c r="C34" s="36" t="n">
        <f aca="false">IF(A34&lt;=12,Assumptions!$B$5,IF(A34&lt;=24,Assumptions!$B$8,Assumptions!$B$9))</f>
        <v>14</v>
      </c>
      <c r="D34" s="36" t="n">
        <f aca="false">ROUND(E33*Assumptions!$B$13,0)</f>
        <v>6</v>
      </c>
      <c r="E34" s="36" t="n">
        <f aca="false">E33+C34-D34</f>
        <v>312</v>
      </c>
      <c r="F34" s="37" t="n">
        <f aca="false">C34*Assumptions!$B$12</f>
        <v>70000</v>
      </c>
      <c r="G34" s="37" t="n">
        <f aca="false">D34*Assumptions!$B$12</f>
        <v>30000</v>
      </c>
      <c r="H34" s="37" t="n">
        <f aca="false">J33*Assumptions!$B$14</f>
        <v>8310.04137983333</v>
      </c>
      <c r="I34" s="37" t="n">
        <f aca="false">F34-G34+H34</f>
        <v>48310.0413798333</v>
      </c>
      <c r="J34" s="37" t="n">
        <f aca="false">J33+I34</f>
        <v>1710318.3173465</v>
      </c>
      <c r="K34" s="37" t="n">
        <f aca="false">J34*12</f>
        <v>20523819.808158</v>
      </c>
    </row>
    <row r="35" customFormat="false" ht="15" hidden="false" customHeight="false" outlineLevel="0" collapsed="false">
      <c r="A35" s="35" t="n">
        <v>33</v>
      </c>
      <c r="B35" s="35" t="s">
        <v>120</v>
      </c>
      <c r="C35" s="36" t="n">
        <f aca="false">IF(A35&lt;=12,Assumptions!$B$5,IF(A35&lt;=24,Assumptions!$B$8,Assumptions!$B$9))</f>
        <v>14</v>
      </c>
      <c r="D35" s="36" t="n">
        <f aca="false">ROUND(E34*Assumptions!$B$13,0)</f>
        <v>6</v>
      </c>
      <c r="E35" s="36" t="n">
        <f aca="false">E34+C35-D35</f>
        <v>320</v>
      </c>
      <c r="F35" s="37" t="n">
        <f aca="false">C35*Assumptions!$B$12</f>
        <v>70000</v>
      </c>
      <c r="G35" s="37" t="n">
        <f aca="false">D35*Assumptions!$B$12</f>
        <v>30000</v>
      </c>
      <c r="H35" s="37" t="n">
        <f aca="false">J34*Assumptions!$B$14</f>
        <v>8551.59158673249</v>
      </c>
      <c r="I35" s="37" t="n">
        <f aca="false">F35-G35+H35</f>
        <v>48551.5915867325</v>
      </c>
      <c r="J35" s="37" t="n">
        <f aca="false">J34+I35</f>
        <v>1758869.90893323</v>
      </c>
      <c r="K35" s="37" t="n">
        <f aca="false">J35*12</f>
        <v>21106438.9071988</v>
      </c>
    </row>
    <row r="36" customFormat="false" ht="15" hidden="false" customHeight="false" outlineLevel="0" collapsed="false">
      <c r="A36" s="35" t="n">
        <v>34</v>
      </c>
      <c r="B36" s="35" t="s">
        <v>121</v>
      </c>
      <c r="C36" s="36" t="n">
        <f aca="false">IF(A36&lt;=12,Assumptions!$B$5,IF(A36&lt;=24,Assumptions!$B$8,Assumptions!$B$9))</f>
        <v>14</v>
      </c>
      <c r="D36" s="36" t="n">
        <f aca="false">ROUND(E35*Assumptions!$B$13,0)</f>
        <v>6</v>
      </c>
      <c r="E36" s="36" t="n">
        <f aca="false">E35+C36-D36</f>
        <v>328</v>
      </c>
      <c r="F36" s="37" t="n">
        <f aca="false">C36*Assumptions!$B$12</f>
        <v>70000</v>
      </c>
      <c r="G36" s="37" t="n">
        <f aca="false">D36*Assumptions!$B$12</f>
        <v>30000</v>
      </c>
      <c r="H36" s="37" t="n">
        <f aca="false">J35*Assumptions!$B$14</f>
        <v>8794.34954466616</v>
      </c>
      <c r="I36" s="37" t="n">
        <f aca="false">F36-G36+H36</f>
        <v>48794.3495446662</v>
      </c>
      <c r="J36" s="37" t="n">
        <f aca="false">J35+I36</f>
        <v>1807664.2584779</v>
      </c>
      <c r="K36" s="37" t="n">
        <f aca="false">J36*12</f>
        <v>21691971.1017348</v>
      </c>
    </row>
    <row r="37" customFormat="false" ht="15" hidden="false" customHeight="false" outlineLevel="0" collapsed="false">
      <c r="A37" s="35" t="n">
        <v>35</v>
      </c>
      <c r="B37" s="35" t="s">
        <v>122</v>
      </c>
      <c r="C37" s="36" t="n">
        <f aca="false">IF(A37&lt;=12,Assumptions!$B$5,IF(A37&lt;=24,Assumptions!$B$8,Assumptions!$B$9))</f>
        <v>14</v>
      </c>
      <c r="D37" s="36" t="n">
        <f aca="false">ROUND(E36*Assumptions!$B$13,0)</f>
        <v>7</v>
      </c>
      <c r="E37" s="36" t="n">
        <f aca="false">E36+C37-D37</f>
        <v>335</v>
      </c>
      <c r="F37" s="37" t="n">
        <f aca="false">C37*Assumptions!$B$12</f>
        <v>70000</v>
      </c>
      <c r="G37" s="37" t="n">
        <f aca="false">D37*Assumptions!$B$12</f>
        <v>35000</v>
      </c>
      <c r="H37" s="37" t="n">
        <f aca="false">J36*Assumptions!$B$14</f>
        <v>9038.32129238949</v>
      </c>
      <c r="I37" s="37" t="n">
        <f aca="false">F37-G37+H37</f>
        <v>44038.3212923895</v>
      </c>
      <c r="J37" s="37" t="n">
        <f aca="false">J36+I37</f>
        <v>1851702.57977029</v>
      </c>
      <c r="K37" s="37" t="n">
        <f aca="false">J37*12</f>
        <v>22220430.9572434</v>
      </c>
    </row>
    <row r="38" customFormat="false" ht="15" hidden="false" customHeight="false" outlineLevel="0" collapsed="false">
      <c r="A38" s="35" t="n">
        <v>36</v>
      </c>
      <c r="B38" s="35" t="s">
        <v>123</v>
      </c>
      <c r="C38" s="36" t="n">
        <f aca="false">IF(A38&lt;=12,Assumptions!$B$5,IF(A38&lt;=24,Assumptions!$B$8,Assumptions!$B$9))</f>
        <v>14</v>
      </c>
      <c r="D38" s="36" t="n">
        <f aca="false">ROUND(E37*Assumptions!$B$13,0)</f>
        <v>7</v>
      </c>
      <c r="E38" s="36" t="n">
        <f aca="false">E37+C38-D38</f>
        <v>342</v>
      </c>
      <c r="F38" s="37" t="n">
        <f aca="false">C38*Assumptions!$B$12</f>
        <v>70000</v>
      </c>
      <c r="G38" s="37" t="n">
        <f aca="false">D38*Assumptions!$B$12</f>
        <v>35000</v>
      </c>
      <c r="H38" s="37" t="n">
        <f aca="false">J37*Assumptions!$B$14</f>
        <v>9258.51289885143</v>
      </c>
      <c r="I38" s="37" t="n">
        <f aca="false">F38-G38+H38</f>
        <v>44258.5128988514</v>
      </c>
      <c r="J38" s="37" t="n">
        <f aca="false">J37+I38</f>
        <v>1895961.09266914</v>
      </c>
      <c r="K38" s="37" t="n">
        <f aca="false">J38*12</f>
        <v>22751533.1120297</v>
      </c>
    </row>
    <row r="40" customFormat="false" ht="21.75" hidden="false" customHeight="true" outlineLevel="0" collapsed="false">
      <c r="A40" s="38" t="s">
        <v>124</v>
      </c>
      <c r="B40" s="38"/>
      <c r="C40" s="39" t="n">
        <f aca="false">SUM(C3:C14)</f>
        <v>120</v>
      </c>
      <c r="D40" s="39" t="n">
        <f aca="false">SUM(D3:D14)</f>
        <v>24</v>
      </c>
      <c r="E40" s="39" t="n">
        <f aca="false">E14</f>
        <v>146</v>
      </c>
      <c r="F40" s="40" t="n">
        <f aca="false">SUM(F3:F14)</f>
        <v>600000</v>
      </c>
      <c r="G40" s="40" t="n">
        <f aca="false">SUM(G3:G14)</f>
        <v>120000</v>
      </c>
      <c r="H40" s="40" t="n">
        <f aca="false">SUM(H3:H14)</f>
        <v>29534.0556015557</v>
      </c>
      <c r="I40" s="40" t="n">
        <f aca="false">SUM(I3:I14)</f>
        <v>509534.055601556</v>
      </c>
      <c r="J40" s="40" t="n">
        <f aca="false">SUM(J3:J14)</f>
        <v>6416345.1759127</v>
      </c>
      <c r="K40" s="40" t="n">
        <f aca="false">K14</f>
        <v>9114408.66721867</v>
      </c>
    </row>
    <row r="41" customFormat="false" ht="21.75" hidden="false" customHeight="true" outlineLevel="0" collapsed="false">
      <c r="A41" s="38" t="s">
        <v>125</v>
      </c>
      <c r="B41" s="38"/>
      <c r="C41" s="39" t="n">
        <f aca="false">SUM(C15:C26)</f>
        <v>144</v>
      </c>
      <c r="D41" s="39" t="n">
        <f aca="false">SUM(D15:D26)</f>
        <v>46</v>
      </c>
      <c r="E41" s="39" t="n">
        <f aca="false">E26</f>
        <v>244</v>
      </c>
      <c r="F41" s="40" t="n">
        <f aca="false">SUM(F15:F26)</f>
        <v>720000</v>
      </c>
      <c r="G41" s="40" t="n">
        <f aca="false">SUM(G15:G26)</f>
        <v>230000</v>
      </c>
      <c r="H41" s="40" t="n">
        <f aca="false">SUM(H15:H26)</f>
        <v>61214.6614411311</v>
      </c>
      <c r="I41" s="40" t="n">
        <f aca="false">SUM(I15:I26)</f>
        <v>551214.661441131</v>
      </c>
      <c r="J41" s="40" t="n">
        <f aca="false">SUM(J15:J26)</f>
        <v>12794146.9496674</v>
      </c>
      <c r="K41" s="40" t="n">
        <f aca="false">K26</f>
        <v>15728984.6045122</v>
      </c>
    </row>
    <row r="42" customFormat="false" ht="21.75" hidden="false" customHeight="true" outlineLevel="0" collapsed="false">
      <c r="A42" s="38" t="s">
        <v>126</v>
      </c>
      <c r="B42" s="38"/>
      <c r="C42" s="39" t="n">
        <f aca="false">SUM(C27:C38)</f>
        <v>168</v>
      </c>
      <c r="D42" s="39" t="n">
        <f aca="false">SUM(D27:D38)</f>
        <v>70</v>
      </c>
      <c r="E42" s="39" t="n">
        <f aca="false">E38</f>
        <v>342</v>
      </c>
      <c r="F42" s="40" t="n">
        <f aca="false">SUM(F27:F38)</f>
        <v>840000</v>
      </c>
      <c r="G42" s="40" t="n">
        <f aca="false">SUM(G27:G38)</f>
        <v>350000</v>
      </c>
      <c r="H42" s="40" t="n">
        <f aca="false">SUM(H27:H38)</f>
        <v>95212.375626451</v>
      </c>
      <c r="I42" s="40" t="n">
        <f aca="false">SUM(I27:I38)</f>
        <v>585212.375626451</v>
      </c>
      <c r="J42" s="40" t="n">
        <f aca="false">SUM(J27:J38)</f>
        <v>19627687.5009167</v>
      </c>
      <c r="K42" s="40" t="n">
        <f aca="false">K38</f>
        <v>22751533.1120297</v>
      </c>
    </row>
    <row r="44" customFormat="false" ht="15" hidden="false" customHeight="false" outlineLevel="0" collapsed="false">
      <c r="A44" s="41" t="s">
        <v>127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</row>
  </sheetData>
  <mergeCells count="5">
    <mergeCell ref="A1:K1"/>
    <mergeCell ref="A40:B40"/>
    <mergeCell ref="A41:B41"/>
    <mergeCell ref="A42:B42"/>
    <mergeCell ref="A44:K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46"/>
  </cols>
  <sheetData>
    <row r="1" customFormat="false" ht="36" hidden="false" customHeight="true" outlineLevel="0" collapsed="false">
      <c r="A1" s="1" t="s">
        <v>58</v>
      </c>
      <c r="B1" s="1"/>
      <c r="C1" s="1"/>
    </row>
    <row r="3" customFormat="false" ht="19.5" hidden="false" customHeight="true" outlineLevel="0" collapsed="false">
      <c r="A3" s="21" t="s">
        <v>128</v>
      </c>
      <c r="B3" s="21"/>
      <c r="C3" s="21"/>
    </row>
    <row r="4" customFormat="false" ht="19.5" hidden="false" customHeight="true" outlineLevel="0" collapsed="false">
      <c r="A4" s="12" t="s">
        <v>59</v>
      </c>
      <c r="B4" s="42" t="n">
        <f aca="false">Assumptions!$B$17</f>
        <v>25000</v>
      </c>
      <c r="C4" s="23" t="s">
        <v>129</v>
      </c>
    </row>
    <row r="5" customFormat="false" ht="19.5" hidden="false" customHeight="true" outlineLevel="0" collapsed="false">
      <c r="A5" s="12" t="s">
        <v>52</v>
      </c>
      <c r="B5" s="42" t="n">
        <f aca="false">Assumptions!$B$12</f>
        <v>5000</v>
      </c>
      <c r="C5" s="23" t="s">
        <v>130</v>
      </c>
    </row>
    <row r="6" customFormat="false" ht="19.5" hidden="false" customHeight="true" outlineLevel="0" collapsed="false">
      <c r="A6" s="12" t="s">
        <v>18</v>
      </c>
      <c r="B6" s="43" t="n">
        <f aca="false">1-Assumptions!$B$20</f>
        <v>0.8</v>
      </c>
      <c r="C6" s="23" t="s">
        <v>131</v>
      </c>
    </row>
    <row r="7" customFormat="false" ht="19.5" hidden="false" customHeight="true" outlineLevel="0" collapsed="false">
      <c r="A7" s="12" t="s">
        <v>132</v>
      </c>
      <c r="B7" s="44" t="n">
        <f aca="false">Assumptions!$B$13</f>
        <v>0.02</v>
      </c>
      <c r="C7" s="23" t="s">
        <v>133</v>
      </c>
    </row>
    <row r="8" customFormat="false" ht="19.5" hidden="false" customHeight="true" outlineLevel="0" collapsed="false">
      <c r="A8" s="12" t="s">
        <v>134</v>
      </c>
      <c r="B8" s="43" t="n">
        <f aca="false">1-(1-B7)^12</f>
        <v>0.2152832762652</v>
      </c>
      <c r="C8" s="23" t="s">
        <v>135</v>
      </c>
    </row>
    <row r="9" customFormat="false" ht="19.5" hidden="false" customHeight="true" outlineLevel="0" collapsed="false">
      <c r="A9" s="12" t="s">
        <v>136</v>
      </c>
      <c r="B9" s="45" t="n">
        <f aca="false">IF(B7=0,999,ROUND(1/B7,1))</f>
        <v>50</v>
      </c>
      <c r="C9" s="23" t="s">
        <v>137</v>
      </c>
    </row>
    <row r="10" customFormat="false" ht="19.5" hidden="false" customHeight="true" outlineLevel="0" collapsed="false">
      <c r="A10" s="12" t="s">
        <v>138</v>
      </c>
      <c r="B10" s="46" t="n">
        <f aca="false">IF(B7=0,0,B5*B6/B7)</f>
        <v>200000</v>
      </c>
      <c r="C10" s="23" t="s">
        <v>139</v>
      </c>
    </row>
    <row r="11" customFormat="false" ht="19.5" hidden="false" customHeight="true" outlineLevel="0" collapsed="false">
      <c r="A11" s="12" t="s">
        <v>4</v>
      </c>
      <c r="B11" s="47" t="n">
        <f aca="false">IF(B4=0,0,B10/B4)</f>
        <v>8</v>
      </c>
      <c r="C11" s="23" t="s">
        <v>140</v>
      </c>
    </row>
    <row r="12" customFormat="false" ht="19.5" hidden="false" customHeight="true" outlineLevel="0" collapsed="false">
      <c r="A12" s="12" t="s">
        <v>141</v>
      </c>
      <c r="B12" s="48" t="n">
        <f aca="false">IF(B5*B6=0,0,ROUND(B4/(B5*B6),1))</f>
        <v>6.3</v>
      </c>
      <c r="C12" s="23" t="s">
        <v>142</v>
      </c>
    </row>
    <row r="14" customFormat="false" ht="19.5" hidden="false" customHeight="true" outlineLevel="0" collapsed="false">
      <c r="A14" s="21" t="s">
        <v>143</v>
      </c>
      <c r="B14" s="21"/>
      <c r="C14" s="21"/>
    </row>
    <row r="15" customFormat="false" ht="19.5" hidden="false" customHeight="true" outlineLevel="0" collapsed="false">
      <c r="A15" s="12" t="s">
        <v>144</v>
      </c>
      <c r="B15" s="44" t="n">
        <f aca="false">Assumptions!$B$13</f>
        <v>0.02</v>
      </c>
    </row>
    <row r="16" customFormat="false" ht="19.5" hidden="false" customHeight="true" outlineLevel="0" collapsed="false">
      <c r="A16" s="12" t="s">
        <v>145</v>
      </c>
      <c r="B16" s="44" t="n">
        <f aca="false">Assumptions!$B$14</f>
        <v>0.005</v>
      </c>
      <c r="C16" s="23" t="s">
        <v>146</v>
      </c>
    </row>
    <row r="17" customFormat="false" ht="19.5" hidden="false" customHeight="true" outlineLevel="0" collapsed="false">
      <c r="A17" s="12" t="s">
        <v>147</v>
      </c>
      <c r="B17" s="43" t="n">
        <f aca="false">1-B15+B16</f>
        <v>0.985</v>
      </c>
      <c r="C17" s="23" t="s">
        <v>148</v>
      </c>
    </row>
    <row r="18" customFormat="false" ht="19.5" hidden="false" customHeight="true" outlineLevel="0" collapsed="false">
      <c r="A18" s="12" t="s">
        <v>9</v>
      </c>
      <c r="B18" s="49" t="n">
        <f aca="false">B17^12</f>
        <v>0.834131968340877</v>
      </c>
      <c r="C18" s="23" t="s">
        <v>149</v>
      </c>
    </row>
    <row r="20" customFormat="false" ht="19.5" hidden="false" customHeight="true" outlineLevel="0" collapsed="false">
      <c r="A20" s="21" t="s">
        <v>150</v>
      </c>
      <c r="B20" s="21"/>
      <c r="C20" s="21"/>
    </row>
    <row r="21" customFormat="false" ht="15.75" hidden="false" customHeight="true" outlineLevel="0" collapsed="false">
      <c r="A21" s="50" t="s">
        <v>151</v>
      </c>
      <c r="B21" s="2" t="s">
        <v>152</v>
      </c>
      <c r="C21" s="2"/>
    </row>
    <row r="22" customFormat="false" ht="15.75" hidden="false" customHeight="true" outlineLevel="0" collapsed="false">
      <c r="A22" s="50" t="s">
        <v>153</v>
      </c>
      <c r="B22" s="2" t="s">
        <v>154</v>
      </c>
      <c r="C22" s="2"/>
    </row>
    <row r="23" customFormat="false" ht="15.75" hidden="false" customHeight="true" outlineLevel="0" collapsed="false">
      <c r="A23" s="50" t="s">
        <v>155</v>
      </c>
      <c r="B23" s="2" t="s">
        <v>156</v>
      </c>
      <c r="C23" s="2"/>
    </row>
    <row r="24" customFormat="false" ht="15.75" hidden="false" customHeight="true" outlineLevel="0" collapsed="false">
      <c r="A24" s="50" t="s">
        <v>157</v>
      </c>
      <c r="B24" s="2" t="s">
        <v>158</v>
      </c>
      <c r="C24" s="2"/>
    </row>
    <row r="25" customFormat="false" ht="15.75" hidden="false" customHeight="true" outlineLevel="0" collapsed="false">
      <c r="A25" s="50" t="s">
        <v>159</v>
      </c>
      <c r="B25" s="2" t="s">
        <v>160</v>
      </c>
      <c r="C25" s="2"/>
    </row>
    <row r="26" customFormat="false" ht="15.75" hidden="false" customHeight="true" outlineLevel="0" collapsed="false">
      <c r="A26" s="50" t="s">
        <v>161</v>
      </c>
      <c r="B26" s="2" t="s">
        <v>162</v>
      </c>
      <c r="C26" s="2"/>
    </row>
    <row r="27" customFormat="false" ht="15.75" hidden="false" customHeight="true" outlineLevel="0" collapsed="false">
      <c r="A27" s="50" t="s">
        <v>163</v>
      </c>
      <c r="B27" s="2" t="s">
        <v>164</v>
      </c>
      <c r="C27" s="2"/>
    </row>
    <row r="28" customFormat="false" ht="15.75" hidden="false" customHeight="true" outlineLevel="0" collapsed="false">
      <c r="A28" s="50" t="s">
        <v>165</v>
      </c>
      <c r="B28" s="2" t="s">
        <v>166</v>
      </c>
      <c r="C28" s="2"/>
    </row>
  </sheetData>
  <mergeCells count="12">
    <mergeCell ref="A1:C1"/>
    <mergeCell ref="A3:C3"/>
    <mergeCell ref="A14:C14"/>
    <mergeCell ref="A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</cols>
  <sheetData>
    <row r="1" customFormat="false" ht="36" hidden="false" customHeight="true" outlineLevel="0" collapsed="false">
      <c r="A1" s="1" t="s">
        <v>167</v>
      </c>
      <c r="B1" s="1"/>
      <c r="C1" s="1"/>
      <c r="D1" s="1"/>
      <c r="E1" s="1"/>
    </row>
    <row r="2" customFormat="false" ht="24" hidden="false" customHeight="true" outlineLevel="0" collapsed="false">
      <c r="A2" s="28"/>
      <c r="B2" s="28" t="s">
        <v>12</v>
      </c>
      <c r="C2" s="28" t="s">
        <v>13</v>
      </c>
      <c r="D2" s="28" t="s">
        <v>14</v>
      </c>
      <c r="E2" s="28" t="s">
        <v>15</v>
      </c>
    </row>
    <row r="4" customFormat="false" ht="18" hidden="false" customHeight="true" outlineLevel="0" collapsed="false">
      <c r="A4" s="51" t="s">
        <v>168</v>
      </c>
      <c r="B4" s="52" t="n">
        <f aca="false">SUM(Revenue!J3:J14)</f>
        <v>6416345.1759127</v>
      </c>
      <c r="C4" s="52" t="n">
        <f aca="false">SUM(Revenue!J15:J26)</f>
        <v>12794146.9496674</v>
      </c>
      <c r="D4" s="52" t="n">
        <f aca="false">SUM(Revenue!J27:J38)</f>
        <v>19627687.5009167</v>
      </c>
      <c r="E4" s="52" t="n">
        <f aca="false">SUM(B4:D4)</f>
        <v>38838179.6264967</v>
      </c>
    </row>
    <row r="5" customFormat="false" ht="18" hidden="false" customHeight="true" outlineLevel="0" collapsed="false">
      <c r="A5" s="53" t="s">
        <v>169</v>
      </c>
      <c r="B5" s="54" t="n">
        <f aca="false">B4*Assumptions!$B$20</f>
        <v>1283269.03518254</v>
      </c>
      <c r="C5" s="54" t="n">
        <f aca="false">C4*Assumptions!$B$20</f>
        <v>2558829.38993347</v>
      </c>
      <c r="D5" s="54" t="n">
        <f aca="false">D4*Assumptions!$B$20</f>
        <v>3925537.50018333</v>
      </c>
      <c r="E5" s="54" t="n">
        <f aca="false">SUM(B5:D5)</f>
        <v>7767635.92529934</v>
      </c>
    </row>
    <row r="6" customFormat="false" ht="18" hidden="false" customHeight="true" outlineLevel="0" collapsed="false">
      <c r="A6" s="55" t="s">
        <v>170</v>
      </c>
      <c r="B6" s="56" t="n">
        <f aca="false">B4-B5</f>
        <v>5133076.14073016</v>
      </c>
      <c r="C6" s="56" t="n">
        <f aca="false">C4-C5</f>
        <v>10235317.5597339</v>
      </c>
      <c r="D6" s="56" t="n">
        <f aca="false">D4-D5</f>
        <v>15702150.0007333</v>
      </c>
      <c r="E6" s="56" t="n">
        <f aca="false">SUM(B6:D6)</f>
        <v>31070543.7011974</v>
      </c>
    </row>
    <row r="7" customFormat="false" ht="18" hidden="false" customHeight="true" outlineLevel="0" collapsed="false">
      <c r="A7" s="55" t="s">
        <v>18</v>
      </c>
      <c r="B7" s="57" t="n">
        <f aca="false">IF(B4=0,0,B6/B4)</f>
        <v>0.8</v>
      </c>
      <c r="C7" s="57" t="n">
        <f aca="false">IF(C4=0,0,C6/C4)</f>
        <v>0.8</v>
      </c>
      <c r="D7" s="57" t="n">
        <f aca="false">IF(D4=0,0,D6/D4)</f>
        <v>0.8</v>
      </c>
      <c r="E7" s="57" t="n">
        <f aca="false">IF(E4=0,0,E6/E4)</f>
        <v>0.8</v>
      </c>
    </row>
    <row r="8" customFormat="false" ht="6" hidden="false" customHeight="true" outlineLevel="0" collapsed="false"/>
    <row r="9" customFormat="false" ht="18" hidden="false" customHeight="true" outlineLevel="0" collapsed="false">
      <c r="A9" s="53" t="s">
        <v>171</v>
      </c>
      <c r="B9" s="54" t="n">
        <f aca="false">B4*Assumptions!$B$21</f>
        <v>2245720.81156944</v>
      </c>
      <c r="C9" s="54" t="n">
        <f aca="false">C4*Assumptions!$B$21</f>
        <v>4477951.43238357</v>
      </c>
      <c r="D9" s="54" t="n">
        <f aca="false">D4*Assumptions!$B$21</f>
        <v>6869690.62532083</v>
      </c>
      <c r="E9" s="54" t="n">
        <f aca="false">SUM(B9:D9)</f>
        <v>13593362.8692738</v>
      </c>
    </row>
    <row r="10" customFormat="false" ht="18" hidden="false" customHeight="true" outlineLevel="0" collapsed="false">
      <c r="A10" s="53" t="s">
        <v>172</v>
      </c>
      <c r="B10" s="54" t="n">
        <f aca="false">B4*Assumptions!$B$22</f>
        <v>1283269.03518254</v>
      </c>
      <c r="C10" s="54" t="n">
        <f aca="false">C4*Assumptions!$B$22</f>
        <v>2558829.38993347</v>
      </c>
      <c r="D10" s="54" t="n">
        <f aca="false">D4*Assumptions!$B$22</f>
        <v>3925537.50018333</v>
      </c>
      <c r="E10" s="54" t="n">
        <f aca="false">SUM(B10:D10)</f>
        <v>7767635.92529934</v>
      </c>
    </row>
    <row r="11" customFormat="false" ht="18" hidden="false" customHeight="true" outlineLevel="0" collapsed="false">
      <c r="A11" s="53" t="s">
        <v>173</v>
      </c>
      <c r="B11" s="54" t="n">
        <f aca="false">B4*Assumptions!$B$23</f>
        <v>962451.776386904</v>
      </c>
      <c r="C11" s="54" t="n">
        <f aca="false">C4*Assumptions!$B$23</f>
        <v>1919122.0424501</v>
      </c>
      <c r="D11" s="54" t="n">
        <f aca="false">D4*Assumptions!$B$23</f>
        <v>2944153.1251375</v>
      </c>
      <c r="E11" s="54" t="n">
        <f aca="false">SUM(B11:D11)</f>
        <v>5825726.9439745</v>
      </c>
    </row>
    <row r="12" customFormat="false" ht="18" hidden="false" customHeight="true" outlineLevel="0" collapsed="false">
      <c r="A12" s="58" t="s">
        <v>70</v>
      </c>
      <c r="B12" s="59" t="n">
        <f aca="false">B9+B10+B11</f>
        <v>4491441.62313889</v>
      </c>
      <c r="C12" s="59" t="n">
        <f aca="false">C9+C10+C11</f>
        <v>8955902.86476715</v>
      </c>
      <c r="D12" s="59" t="n">
        <f aca="false">D9+D10+D11</f>
        <v>13739381.2506417</v>
      </c>
      <c r="E12" s="59" t="n">
        <f aca="false">SUM(B12:D12)</f>
        <v>27186725.7385477</v>
      </c>
    </row>
    <row r="13" customFormat="false" ht="6" hidden="false" customHeight="true" outlineLevel="0" collapsed="false"/>
    <row r="14" customFormat="false" ht="18" hidden="false" customHeight="true" outlineLevel="0" collapsed="false">
      <c r="A14" s="55" t="s">
        <v>174</v>
      </c>
      <c r="B14" s="56" t="n">
        <f aca="false">B6-B12</f>
        <v>641634.517591269</v>
      </c>
      <c r="C14" s="56" t="n">
        <f aca="false">C6-C12</f>
        <v>1279414.69496674</v>
      </c>
      <c r="D14" s="56" t="n">
        <f aca="false">D6-D12</f>
        <v>1962768.75009167</v>
      </c>
      <c r="E14" s="56" t="n">
        <f aca="false">SUM(B14:D14)</f>
        <v>3883817.96264967</v>
      </c>
    </row>
    <row r="15" customFormat="false" ht="18" hidden="false" customHeight="true" outlineLevel="0" collapsed="false">
      <c r="A15" s="55" t="s">
        <v>20</v>
      </c>
      <c r="B15" s="57" t="n">
        <f aca="false">IF(B4=0,0,B14/B4)</f>
        <v>0.0999999999999999</v>
      </c>
      <c r="C15" s="57" t="n">
        <f aca="false">IF(C4=0,0,C14/C4)</f>
        <v>0.1</v>
      </c>
      <c r="D15" s="57" t="n">
        <f aca="false">IF(D4=0,0,D14/D4)</f>
        <v>0.1</v>
      </c>
      <c r="E15" s="57" t="n">
        <f aca="false">IF(E4=0,0,E14/E4)</f>
        <v>0.1</v>
      </c>
    </row>
    <row r="16" customFormat="false" ht="6" hidden="false" customHeight="true" outlineLevel="0" collapsed="false"/>
    <row r="17" customFormat="false" ht="19.5" hidden="false" customHeight="true" outlineLevel="0" collapsed="false">
      <c r="A17" s="60" t="s">
        <v>175</v>
      </c>
      <c r="B17" s="60"/>
      <c r="C17" s="60"/>
      <c r="D17" s="60"/>
      <c r="E17" s="60"/>
    </row>
    <row r="18" customFormat="false" ht="18" hidden="false" customHeight="true" outlineLevel="0" collapsed="false">
      <c r="A18" s="61" t="s">
        <v>176</v>
      </c>
      <c r="B18" s="62" t="n">
        <f aca="false">Revenue!E14</f>
        <v>146</v>
      </c>
      <c r="C18" s="62" t="n">
        <f aca="false">Revenue!E26</f>
        <v>244</v>
      </c>
      <c r="D18" s="62" t="n">
        <f aca="false">Revenue!E38</f>
        <v>342</v>
      </c>
      <c r="E18" s="62" t="n">
        <f aca="false">D18</f>
        <v>342</v>
      </c>
    </row>
    <row r="19" customFormat="false" ht="18" hidden="false" customHeight="true" outlineLevel="0" collapsed="false">
      <c r="A19" s="51" t="s">
        <v>177</v>
      </c>
      <c r="B19" s="52" t="n">
        <f aca="false">Revenue!K14</f>
        <v>9114408.66721867</v>
      </c>
      <c r="C19" s="52" t="n">
        <f aca="false">Revenue!K26</f>
        <v>15728984.6045122</v>
      </c>
      <c r="D19" s="52" t="n">
        <f aca="false">Revenue!K38</f>
        <v>22751533.1120297</v>
      </c>
      <c r="E19" s="52" t="n">
        <f aca="false">D19</f>
        <v>22751533.1120297</v>
      </c>
    </row>
    <row r="20" customFormat="false" ht="18" hidden="false" customHeight="true" outlineLevel="0" collapsed="false">
      <c r="A20" s="63" t="s">
        <v>178</v>
      </c>
      <c r="B20" s="64" t="n">
        <f aca="false">IF(Revenue!J3=0,0,(Revenue!J14/Revenue!J3)^(1/11)-1)</f>
        <v>0.0893607350119332</v>
      </c>
      <c r="C20" s="64" t="n">
        <f aca="false">IF(Revenue!J15=0,0,(Revenue!J26/Revenue!J15)^(1/11)-1)</f>
        <v>0.0449235778569375</v>
      </c>
      <c r="D20" s="64" t="n">
        <f aca="false">IF(Revenue!J27=0,0,(Revenue!J38/Revenue!J27)^(1/11)-1)</f>
        <v>0.0305060231989684</v>
      </c>
      <c r="E20" s="64" t="n">
        <f aca="false">AVERAGE(B20:D20)</f>
        <v>0.054930112022613</v>
      </c>
    </row>
    <row r="21" customFormat="false" ht="18" hidden="false" customHeight="true" outlineLevel="0" collapsed="false">
      <c r="A21" s="61" t="s">
        <v>4</v>
      </c>
      <c r="B21" s="65" t="n">
        <f aca="false">UnitEconomics!B11</f>
        <v>8</v>
      </c>
      <c r="C21" s="65" t="n">
        <f aca="false">UnitEconomics!B11</f>
        <v>8</v>
      </c>
      <c r="D21" s="65" t="n">
        <f aca="false">UnitEconomics!B11</f>
        <v>8</v>
      </c>
      <c r="E21" s="65" t="n">
        <f aca="false">UnitEconomics!B11</f>
        <v>8</v>
      </c>
    </row>
    <row r="22" customFormat="false" ht="18" hidden="false" customHeight="true" outlineLevel="0" collapsed="false">
      <c r="A22" s="61" t="s">
        <v>9</v>
      </c>
      <c r="B22" s="66" t="n">
        <f aca="false">UnitEconomics!B18</f>
        <v>0.834131968340877</v>
      </c>
      <c r="C22" s="66" t="n">
        <f aca="false">UnitEconomics!B18</f>
        <v>0.834131968340877</v>
      </c>
      <c r="D22" s="66" t="n">
        <f aca="false">UnitEconomics!B18</f>
        <v>0.834131968340877</v>
      </c>
      <c r="E22" s="66" t="n">
        <f aca="false">UnitEconomics!B18</f>
        <v>0.834131968340877</v>
      </c>
    </row>
  </sheetData>
  <mergeCells count="2">
    <mergeCell ref="A1:E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2" min="11" style="0" width="16"/>
  </cols>
  <sheetData>
    <row r="1" customFormat="false" ht="36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A2" s="28" t="s">
        <v>77</v>
      </c>
      <c r="B2" s="28" t="s">
        <v>78</v>
      </c>
      <c r="C2" s="28" t="s">
        <v>180</v>
      </c>
      <c r="D2" s="28" t="s">
        <v>181</v>
      </c>
      <c r="E2" s="28" t="s">
        <v>182</v>
      </c>
      <c r="F2" s="28" t="s">
        <v>183</v>
      </c>
      <c r="G2" s="28" t="s">
        <v>184</v>
      </c>
      <c r="H2" s="28" t="s">
        <v>185</v>
      </c>
      <c r="I2" s="28" t="s">
        <v>186</v>
      </c>
      <c r="J2" s="28" t="s">
        <v>187</v>
      </c>
      <c r="K2" s="28" t="s">
        <v>188</v>
      </c>
      <c r="L2" s="28" t="s">
        <v>189</v>
      </c>
    </row>
    <row r="3" customFormat="false" ht="15.75" hidden="false" customHeight="true" outlineLevel="0" collapsed="false">
      <c r="A3" s="29" t="n">
        <v>1</v>
      </c>
      <c r="B3" s="29" t="s">
        <v>88</v>
      </c>
      <c r="C3" s="31" t="n">
        <f aca="false">Revenue!J3</f>
        <v>296250</v>
      </c>
      <c r="D3" s="31" t="n">
        <f aca="false">C3*Assumptions!$B$20</f>
        <v>59250</v>
      </c>
      <c r="E3" s="31" t="n">
        <f aca="false">C3-D3</f>
        <v>237000</v>
      </c>
      <c r="F3" s="31" t="n">
        <f aca="false">C3*Assumptions!$B$21</f>
        <v>103687.5</v>
      </c>
      <c r="G3" s="31" t="n">
        <f aca="false">C3*Assumptions!$B$22</f>
        <v>59250</v>
      </c>
      <c r="H3" s="31" t="n">
        <f aca="false">C3*Assumptions!$B$23</f>
        <v>44437.5</v>
      </c>
      <c r="I3" s="31" t="n">
        <f aca="false">F3+G3+H3</f>
        <v>207375</v>
      </c>
      <c r="J3" s="31" t="n">
        <f aca="false">E3-I3</f>
        <v>29625</v>
      </c>
      <c r="K3" s="31" t="n">
        <f aca="false">Assumptions!$B$28</f>
        <v>5000000</v>
      </c>
      <c r="L3" s="31" t="n">
        <f aca="false">K3+J3</f>
        <v>5029625</v>
      </c>
    </row>
    <row r="4" customFormat="false" ht="15.75" hidden="false" customHeight="true" outlineLevel="0" collapsed="false">
      <c r="A4" s="29" t="n">
        <v>2</v>
      </c>
      <c r="B4" s="29" t="s">
        <v>89</v>
      </c>
      <c r="C4" s="31" t="n">
        <f aca="false">Revenue!J4</f>
        <v>342731.25</v>
      </c>
      <c r="D4" s="31" t="n">
        <f aca="false">C4*Assumptions!$B$20</f>
        <v>68546.25</v>
      </c>
      <c r="E4" s="31" t="n">
        <f aca="false">C4-D4</f>
        <v>274185</v>
      </c>
      <c r="F4" s="31" t="n">
        <f aca="false">C4*Assumptions!$B$21</f>
        <v>119955.9375</v>
      </c>
      <c r="G4" s="31" t="n">
        <f aca="false">C4*Assumptions!$B$22</f>
        <v>68546.25</v>
      </c>
      <c r="H4" s="31" t="n">
        <f aca="false">C4*Assumptions!$B$23</f>
        <v>51409.6875</v>
      </c>
      <c r="I4" s="31" t="n">
        <f aca="false">F4+G4+H4</f>
        <v>239911.875</v>
      </c>
      <c r="J4" s="31" t="n">
        <f aca="false">E4-I4</f>
        <v>34273.125</v>
      </c>
      <c r="K4" s="31" t="n">
        <f aca="false">L3</f>
        <v>5029625</v>
      </c>
      <c r="L4" s="31" t="n">
        <f aca="false">K4+J4</f>
        <v>5063898.125</v>
      </c>
    </row>
    <row r="5" customFormat="false" ht="15.75" hidden="false" customHeight="true" outlineLevel="0" collapsed="false">
      <c r="A5" s="29" t="n">
        <v>3</v>
      </c>
      <c r="B5" s="29" t="s">
        <v>90</v>
      </c>
      <c r="C5" s="31" t="n">
        <f aca="false">Revenue!J5</f>
        <v>389444.90625</v>
      </c>
      <c r="D5" s="31" t="n">
        <f aca="false">C5*Assumptions!$B$20</f>
        <v>77888.98125</v>
      </c>
      <c r="E5" s="31" t="n">
        <f aca="false">C5-D5</f>
        <v>311555.925</v>
      </c>
      <c r="F5" s="31" t="n">
        <f aca="false">C5*Assumptions!$B$21</f>
        <v>136305.7171875</v>
      </c>
      <c r="G5" s="31" t="n">
        <f aca="false">C5*Assumptions!$B$22</f>
        <v>77888.98125</v>
      </c>
      <c r="H5" s="31" t="n">
        <f aca="false">C5*Assumptions!$B$23</f>
        <v>58416.7359375</v>
      </c>
      <c r="I5" s="31" t="n">
        <f aca="false">F5+G5+H5</f>
        <v>272611.434375</v>
      </c>
      <c r="J5" s="31" t="n">
        <f aca="false">E5-I5</f>
        <v>38944.490625</v>
      </c>
      <c r="K5" s="31" t="n">
        <f aca="false">L4</f>
        <v>5063898.125</v>
      </c>
      <c r="L5" s="31" t="n">
        <f aca="false">K5+J5</f>
        <v>5102842.615625</v>
      </c>
    </row>
    <row r="6" customFormat="false" ht="15.75" hidden="false" customHeight="true" outlineLevel="0" collapsed="false">
      <c r="A6" s="29" t="n">
        <v>4</v>
      </c>
      <c r="B6" s="29" t="s">
        <v>91</v>
      </c>
      <c r="C6" s="31" t="n">
        <f aca="false">Revenue!J6</f>
        <v>431392.13078125</v>
      </c>
      <c r="D6" s="31" t="n">
        <f aca="false">C6*Assumptions!$B$20</f>
        <v>86278.42615625</v>
      </c>
      <c r="E6" s="31" t="n">
        <f aca="false">C6-D6</f>
        <v>345113.704625</v>
      </c>
      <c r="F6" s="31" t="n">
        <f aca="false">C6*Assumptions!$B$21</f>
        <v>150987.245773438</v>
      </c>
      <c r="G6" s="31" t="n">
        <f aca="false">C6*Assumptions!$B$22</f>
        <v>86278.42615625</v>
      </c>
      <c r="H6" s="31" t="n">
        <f aca="false">C6*Assumptions!$B$23</f>
        <v>64708.8196171875</v>
      </c>
      <c r="I6" s="31" t="n">
        <f aca="false">F6+G6+H6</f>
        <v>301974.491546875</v>
      </c>
      <c r="J6" s="31" t="n">
        <f aca="false">E6-I6</f>
        <v>43139.213078125</v>
      </c>
      <c r="K6" s="31" t="n">
        <f aca="false">L5</f>
        <v>5102842.615625</v>
      </c>
      <c r="L6" s="31" t="n">
        <f aca="false">K6+J6</f>
        <v>5145981.82870313</v>
      </c>
    </row>
    <row r="7" customFormat="false" ht="15.75" hidden="false" customHeight="true" outlineLevel="0" collapsed="false">
      <c r="A7" s="29" t="n">
        <v>5</v>
      </c>
      <c r="B7" s="29" t="s">
        <v>92</v>
      </c>
      <c r="C7" s="31" t="n">
        <f aca="false">Revenue!J7</f>
        <v>473549.091435156</v>
      </c>
      <c r="D7" s="31" t="n">
        <f aca="false">C7*Assumptions!$B$20</f>
        <v>94709.8182870313</v>
      </c>
      <c r="E7" s="31" t="n">
        <f aca="false">C7-D7</f>
        <v>378839.273148125</v>
      </c>
      <c r="F7" s="31" t="n">
        <f aca="false">C7*Assumptions!$B$21</f>
        <v>165742.182002305</v>
      </c>
      <c r="G7" s="31" t="n">
        <f aca="false">C7*Assumptions!$B$22</f>
        <v>94709.8182870313</v>
      </c>
      <c r="H7" s="31" t="n">
        <f aca="false">C7*Assumptions!$B$23</f>
        <v>71032.3637152734</v>
      </c>
      <c r="I7" s="31" t="n">
        <f aca="false">F7+G7+H7</f>
        <v>331484.364004609</v>
      </c>
      <c r="J7" s="31" t="n">
        <f aca="false">E7-I7</f>
        <v>47354.9091435156</v>
      </c>
      <c r="K7" s="31" t="n">
        <f aca="false">L6</f>
        <v>5145981.82870313</v>
      </c>
      <c r="L7" s="31" t="n">
        <f aca="false">K7+J7</f>
        <v>5193336.73784664</v>
      </c>
    </row>
    <row r="8" customFormat="false" ht="15.75" hidden="false" customHeight="true" outlineLevel="0" collapsed="false">
      <c r="A8" s="29" t="n">
        <v>6</v>
      </c>
      <c r="B8" s="29" t="s">
        <v>93</v>
      </c>
      <c r="C8" s="31" t="n">
        <f aca="false">Revenue!J8</f>
        <v>515916.836892332</v>
      </c>
      <c r="D8" s="31" t="n">
        <f aca="false">C8*Assumptions!$B$20</f>
        <v>103183.367378466</v>
      </c>
      <c r="E8" s="31" t="n">
        <f aca="false">C8-D8</f>
        <v>412733.469513866</v>
      </c>
      <c r="F8" s="31" t="n">
        <f aca="false">C8*Assumptions!$B$21</f>
        <v>180570.892912316</v>
      </c>
      <c r="G8" s="31" t="n">
        <f aca="false">C8*Assumptions!$B$22</f>
        <v>103183.367378466</v>
      </c>
      <c r="H8" s="31" t="n">
        <f aca="false">C8*Assumptions!$B$23</f>
        <v>77387.5255338498</v>
      </c>
      <c r="I8" s="31" t="n">
        <f aca="false">F8+G8+H8</f>
        <v>361141.785824633</v>
      </c>
      <c r="J8" s="31" t="n">
        <f aca="false">E8-I8</f>
        <v>51591.6836892332</v>
      </c>
      <c r="K8" s="31" t="n">
        <f aca="false">L7</f>
        <v>5193336.73784664</v>
      </c>
      <c r="L8" s="31" t="n">
        <f aca="false">K8+J8</f>
        <v>5244928.42153587</v>
      </c>
    </row>
    <row r="9" customFormat="false" ht="15.75" hidden="false" customHeight="true" outlineLevel="0" collapsed="false">
      <c r="A9" s="29" t="n">
        <v>7</v>
      </c>
      <c r="B9" s="29" t="s">
        <v>94</v>
      </c>
      <c r="C9" s="31" t="n">
        <f aca="false">Revenue!J9</f>
        <v>558496.421076794</v>
      </c>
      <c r="D9" s="31" t="n">
        <f aca="false">C9*Assumptions!$B$20</f>
        <v>111699.284215359</v>
      </c>
      <c r="E9" s="31" t="n">
        <f aca="false">C9-D9</f>
        <v>446797.136861435</v>
      </c>
      <c r="F9" s="31" t="n">
        <f aca="false">C9*Assumptions!$B$21</f>
        <v>195473.747376878</v>
      </c>
      <c r="G9" s="31" t="n">
        <f aca="false">C9*Assumptions!$B$22</f>
        <v>111699.284215359</v>
      </c>
      <c r="H9" s="31" t="n">
        <f aca="false">C9*Assumptions!$B$23</f>
        <v>83774.463161519</v>
      </c>
      <c r="I9" s="31" t="n">
        <f aca="false">F9+G9+H9</f>
        <v>390947.494753756</v>
      </c>
      <c r="J9" s="31" t="n">
        <f aca="false">E9-I9</f>
        <v>55849.6421076794</v>
      </c>
      <c r="K9" s="31" t="n">
        <f aca="false">L8</f>
        <v>5244928.42153587</v>
      </c>
      <c r="L9" s="31" t="n">
        <f aca="false">K9+J9</f>
        <v>5300778.06364355</v>
      </c>
    </row>
    <row r="10" customFormat="false" ht="15.75" hidden="false" customHeight="true" outlineLevel="0" collapsed="false">
      <c r="A10" s="29" t="n">
        <v>8</v>
      </c>
      <c r="B10" s="29" t="s">
        <v>95</v>
      </c>
      <c r="C10" s="31" t="n">
        <f aca="false">Revenue!J10</f>
        <v>601288.903182178</v>
      </c>
      <c r="D10" s="31" t="n">
        <f aca="false">C10*Assumptions!$B$20</f>
        <v>120257.780636436</v>
      </c>
      <c r="E10" s="31" t="n">
        <f aca="false">C10-D10</f>
        <v>481031.122545742</v>
      </c>
      <c r="F10" s="31" t="n">
        <f aca="false">C10*Assumptions!$B$21</f>
        <v>210451.116113762</v>
      </c>
      <c r="G10" s="31" t="n">
        <f aca="false">C10*Assumptions!$B$22</f>
        <v>120257.780636436</v>
      </c>
      <c r="H10" s="31" t="n">
        <f aca="false">C10*Assumptions!$B$23</f>
        <v>90193.3354773267</v>
      </c>
      <c r="I10" s="31" t="n">
        <f aca="false">F10+G10+H10</f>
        <v>420902.232227524</v>
      </c>
      <c r="J10" s="31" t="n">
        <f aca="false">E10-I10</f>
        <v>60128.8903182177</v>
      </c>
      <c r="K10" s="31" t="n">
        <f aca="false">L9</f>
        <v>5300778.06364355</v>
      </c>
      <c r="L10" s="31" t="n">
        <f aca="false">K10+J10</f>
        <v>5360906.95396177</v>
      </c>
    </row>
    <row r="11" customFormat="false" ht="15.75" hidden="false" customHeight="true" outlineLevel="0" collapsed="false">
      <c r="A11" s="29" t="n">
        <v>9</v>
      </c>
      <c r="B11" s="29" t="s">
        <v>96</v>
      </c>
      <c r="C11" s="31" t="n">
        <f aca="false">Revenue!J11</f>
        <v>644295.347698089</v>
      </c>
      <c r="D11" s="31" t="n">
        <f aca="false">C11*Assumptions!$B$20</f>
        <v>128859.069539618</v>
      </c>
      <c r="E11" s="31" t="n">
        <f aca="false">C11-D11</f>
        <v>515436.278158471</v>
      </c>
      <c r="F11" s="31" t="n">
        <f aca="false">C11*Assumptions!$B$21</f>
        <v>225503.371694331</v>
      </c>
      <c r="G11" s="31" t="n">
        <f aca="false">C11*Assumptions!$B$22</f>
        <v>128859.069539618</v>
      </c>
      <c r="H11" s="31" t="n">
        <f aca="false">C11*Assumptions!$B$23</f>
        <v>96644.3021547133</v>
      </c>
      <c r="I11" s="31" t="n">
        <f aca="false">F11+G11+H11</f>
        <v>451006.743388662</v>
      </c>
      <c r="J11" s="31" t="n">
        <f aca="false">E11-I11</f>
        <v>64429.5347698088</v>
      </c>
      <c r="K11" s="31" t="n">
        <f aca="false">L10</f>
        <v>5360906.95396177</v>
      </c>
      <c r="L11" s="31" t="n">
        <f aca="false">K11+J11</f>
        <v>5425336.48873158</v>
      </c>
    </row>
    <row r="12" customFormat="false" ht="15.75" hidden="false" customHeight="true" outlineLevel="0" collapsed="false">
      <c r="A12" s="29" t="n">
        <v>10</v>
      </c>
      <c r="B12" s="29" t="s">
        <v>97</v>
      </c>
      <c r="C12" s="31" t="n">
        <f aca="false">Revenue!J12</f>
        <v>682516.824436579</v>
      </c>
      <c r="D12" s="31" t="n">
        <f aca="false">C12*Assumptions!$B$20</f>
        <v>136503.364887316</v>
      </c>
      <c r="E12" s="31" t="n">
        <f aca="false">C12-D12</f>
        <v>546013.459549263</v>
      </c>
      <c r="F12" s="31" t="n">
        <f aca="false">C12*Assumptions!$B$21</f>
        <v>238880.888552803</v>
      </c>
      <c r="G12" s="31" t="n">
        <f aca="false">C12*Assumptions!$B$22</f>
        <v>136503.364887316</v>
      </c>
      <c r="H12" s="31" t="n">
        <f aca="false">C12*Assumptions!$B$23</f>
        <v>102377.523665487</v>
      </c>
      <c r="I12" s="31" t="n">
        <f aca="false">F12+G12+H12</f>
        <v>477761.777105605</v>
      </c>
      <c r="J12" s="31" t="n">
        <f aca="false">E12-I12</f>
        <v>68251.682443658</v>
      </c>
      <c r="K12" s="31" t="n">
        <f aca="false">L11</f>
        <v>5425336.48873158</v>
      </c>
      <c r="L12" s="31" t="n">
        <f aca="false">K12+J12</f>
        <v>5493588.17117524</v>
      </c>
    </row>
    <row r="13" customFormat="false" ht="15.75" hidden="false" customHeight="true" outlineLevel="0" collapsed="false">
      <c r="A13" s="29" t="n">
        <v>11</v>
      </c>
      <c r="B13" s="29" t="s">
        <v>98</v>
      </c>
      <c r="C13" s="31" t="n">
        <f aca="false">Revenue!J13</f>
        <v>720929.408558762</v>
      </c>
      <c r="D13" s="31" t="n">
        <f aca="false">C13*Assumptions!$B$20</f>
        <v>144185.881711752</v>
      </c>
      <c r="E13" s="31" t="n">
        <f aca="false">C13-D13</f>
        <v>576743.52684701</v>
      </c>
      <c r="F13" s="31" t="n">
        <f aca="false">C13*Assumptions!$B$21</f>
        <v>252325.292995567</v>
      </c>
      <c r="G13" s="31" t="n">
        <f aca="false">C13*Assumptions!$B$22</f>
        <v>144185.881711752</v>
      </c>
      <c r="H13" s="31" t="n">
        <f aca="false">C13*Assumptions!$B$23</f>
        <v>108139.411283814</v>
      </c>
      <c r="I13" s="31" t="n">
        <f aca="false">F13+G13+H13</f>
        <v>504650.585991133</v>
      </c>
      <c r="J13" s="31" t="n">
        <f aca="false">E13-I13</f>
        <v>72092.9408558763</v>
      </c>
      <c r="K13" s="31" t="n">
        <f aca="false">L12</f>
        <v>5493588.17117524</v>
      </c>
      <c r="L13" s="31" t="n">
        <f aca="false">K13+J13</f>
        <v>5565681.11203111</v>
      </c>
    </row>
    <row r="14" customFormat="false" ht="15.75" hidden="false" customHeight="true" outlineLevel="0" collapsed="false">
      <c r="A14" s="29" t="n">
        <v>12</v>
      </c>
      <c r="B14" s="29" t="s">
        <v>99</v>
      </c>
      <c r="C14" s="31" t="n">
        <f aca="false">Revenue!J14</f>
        <v>759534.055601556</v>
      </c>
      <c r="D14" s="31" t="n">
        <f aca="false">C14*Assumptions!$B$20</f>
        <v>151906.811120311</v>
      </c>
      <c r="E14" s="31" t="n">
        <f aca="false">C14-D14</f>
        <v>607627.244481245</v>
      </c>
      <c r="F14" s="31" t="n">
        <f aca="false">C14*Assumptions!$B$21</f>
        <v>265836.919460545</v>
      </c>
      <c r="G14" s="31" t="n">
        <f aca="false">C14*Assumptions!$B$22</f>
        <v>151906.811120311</v>
      </c>
      <c r="H14" s="31" t="n">
        <f aca="false">C14*Assumptions!$B$23</f>
        <v>113930.108340233</v>
      </c>
      <c r="I14" s="31" t="n">
        <f aca="false">F14+G14+H14</f>
        <v>531673.838921089</v>
      </c>
      <c r="J14" s="31" t="n">
        <f aca="false">E14-I14</f>
        <v>75953.4055601556</v>
      </c>
      <c r="K14" s="31" t="n">
        <f aca="false">L13</f>
        <v>5565681.11203111</v>
      </c>
      <c r="L14" s="31" t="n">
        <f aca="false">K14+J14</f>
        <v>5641634.51759127</v>
      </c>
    </row>
    <row r="15" customFormat="false" ht="15.75" hidden="false" customHeight="true" outlineLevel="0" collapsed="false">
      <c r="A15" s="32" t="n">
        <v>13</v>
      </c>
      <c r="B15" s="32" t="s">
        <v>100</v>
      </c>
      <c r="C15" s="34" t="n">
        <f aca="false">Revenue!J15</f>
        <v>808331.725879564</v>
      </c>
      <c r="D15" s="34" t="n">
        <f aca="false">C15*Assumptions!$B$20</f>
        <v>161666.345175913</v>
      </c>
      <c r="E15" s="34" t="n">
        <f aca="false">C15-D15</f>
        <v>646665.380703651</v>
      </c>
      <c r="F15" s="34" t="n">
        <f aca="false">C15*Assumptions!$B$21</f>
        <v>282916.104057847</v>
      </c>
      <c r="G15" s="34" t="n">
        <f aca="false">C15*Assumptions!$B$22</f>
        <v>161666.345175913</v>
      </c>
      <c r="H15" s="34" t="n">
        <f aca="false">C15*Assumptions!$B$23</f>
        <v>121249.758881935</v>
      </c>
      <c r="I15" s="34" t="n">
        <f aca="false">F15+G15+H15</f>
        <v>565832.208115694</v>
      </c>
      <c r="J15" s="34" t="n">
        <f aca="false">E15-I15</f>
        <v>80833.1725879564</v>
      </c>
      <c r="K15" s="34" t="n">
        <f aca="false">L14</f>
        <v>5641634.51759127</v>
      </c>
      <c r="L15" s="34" t="n">
        <f aca="false">K15+J15</f>
        <v>5722467.69017923</v>
      </c>
    </row>
    <row r="16" customFormat="false" ht="15.75" hidden="false" customHeight="true" outlineLevel="0" collapsed="false">
      <c r="A16" s="32" t="n">
        <v>14</v>
      </c>
      <c r="B16" s="32" t="s">
        <v>101</v>
      </c>
      <c r="C16" s="34" t="n">
        <f aca="false">Revenue!J16</f>
        <v>857373.384508961</v>
      </c>
      <c r="D16" s="34" t="n">
        <f aca="false">C16*Assumptions!$B$20</f>
        <v>171474.676901792</v>
      </c>
      <c r="E16" s="34" t="n">
        <f aca="false">C16-D16</f>
        <v>685898.707607169</v>
      </c>
      <c r="F16" s="34" t="n">
        <f aca="false">C16*Assumptions!$B$21</f>
        <v>300080.684578136</v>
      </c>
      <c r="G16" s="34" t="n">
        <f aca="false">C16*Assumptions!$B$22</f>
        <v>171474.676901792</v>
      </c>
      <c r="H16" s="34" t="n">
        <f aca="false">C16*Assumptions!$B$23</f>
        <v>128606.007676344</v>
      </c>
      <c r="I16" s="34" t="n">
        <f aca="false">F16+G16+H16</f>
        <v>600161.369156273</v>
      </c>
      <c r="J16" s="34" t="n">
        <f aca="false">E16-I16</f>
        <v>85737.3384508962</v>
      </c>
      <c r="K16" s="34" t="n">
        <f aca="false">L15</f>
        <v>5722467.69017923</v>
      </c>
      <c r="L16" s="34" t="n">
        <f aca="false">K16+J16</f>
        <v>5808205.02863012</v>
      </c>
    </row>
    <row r="17" customFormat="false" ht="15.75" hidden="false" customHeight="true" outlineLevel="0" collapsed="false">
      <c r="A17" s="32" t="n">
        <v>15</v>
      </c>
      <c r="B17" s="32" t="s">
        <v>102</v>
      </c>
      <c r="C17" s="34" t="n">
        <f aca="false">Revenue!J17</f>
        <v>906660.251431506</v>
      </c>
      <c r="D17" s="34" t="n">
        <f aca="false">C17*Assumptions!$B$20</f>
        <v>181332.050286301</v>
      </c>
      <c r="E17" s="34" t="n">
        <f aca="false">C17-D17</f>
        <v>725328.201145205</v>
      </c>
      <c r="F17" s="34" t="n">
        <f aca="false">C17*Assumptions!$B$21</f>
        <v>317331.088001027</v>
      </c>
      <c r="G17" s="34" t="n">
        <f aca="false">C17*Assumptions!$B$22</f>
        <v>181332.050286301</v>
      </c>
      <c r="H17" s="34" t="n">
        <f aca="false">C17*Assumptions!$B$23</f>
        <v>135999.037714726</v>
      </c>
      <c r="I17" s="34" t="n">
        <f aca="false">F17+G17+H17</f>
        <v>634662.176002054</v>
      </c>
      <c r="J17" s="34" t="n">
        <f aca="false">E17-I17</f>
        <v>90666.0251431507</v>
      </c>
      <c r="K17" s="34" t="n">
        <f aca="false">L16</f>
        <v>5808205.02863012</v>
      </c>
      <c r="L17" s="34" t="n">
        <f aca="false">K17+J17</f>
        <v>5898871.05377327</v>
      </c>
    </row>
    <row r="18" customFormat="false" ht="15.75" hidden="false" customHeight="true" outlineLevel="0" collapsed="false">
      <c r="A18" s="32" t="n">
        <v>16</v>
      </c>
      <c r="B18" s="32" t="s">
        <v>103</v>
      </c>
      <c r="C18" s="34" t="n">
        <f aca="false">Revenue!J18</f>
        <v>956193.552688664</v>
      </c>
      <c r="D18" s="34" t="n">
        <f aca="false">C18*Assumptions!$B$20</f>
        <v>191238.710537733</v>
      </c>
      <c r="E18" s="34" t="n">
        <f aca="false">C18-D18</f>
        <v>764954.842150931</v>
      </c>
      <c r="F18" s="34" t="n">
        <f aca="false">C18*Assumptions!$B$21</f>
        <v>334667.743441032</v>
      </c>
      <c r="G18" s="34" t="n">
        <f aca="false">C18*Assumptions!$B$22</f>
        <v>191238.710537733</v>
      </c>
      <c r="H18" s="34" t="n">
        <f aca="false">C18*Assumptions!$B$23</f>
        <v>143429.0329033</v>
      </c>
      <c r="I18" s="34" t="n">
        <f aca="false">F18+G18+H18</f>
        <v>669335.486882065</v>
      </c>
      <c r="J18" s="34" t="n">
        <f aca="false">E18-I18</f>
        <v>95619.3552688664</v>
      </c>
      <c r="K18" s="34" t="n">
        <f aca="false">L17</f>
        <v>5898871.05377327</v>
      </c>
      <c r="L18" s="34" t="n">
        <f aca="false">K18+J18</f>
        <v>5994490.40904214</v>
      </c>
    </row>
    <row r="19" customFormat="false" ht="15.75" hidden="false" customHeight="true" outlineLevel="0" collapsed="false">
      <c r="A19" s="32" t="n">
        <v>17</v>
      </c>
      <c r="B19" s="32" t="s">
        <v>104</v>
      </c>
      <c r="C19" s="34" t="n">
        <f aca="false">Revenue!J19</f>
        <v>1000974.52045211</v>
      </c>
      <c r="D19" s="34" t="n">
        <f aca="false">C19*Assumptions!$B$20</f>
        <v>200194.904090421</v>
      </c>
      <c r="E19" s="34" t="n">
        <f aca="false">C19-D19</f>
        <v>800779.616361686</v>
      </c>
      <c r="F19" s="34" t="n">
        <f aca="false">C19*Assumptions!$B$21</f>
        <v>350341.082158237</v>
      </c>
      <c r="G19" s="34" t="n">
        <f aca="false">C19*Assumptions!$B$22</f>
        <v>200194.904090421</v>
      </c>
      <c r="H19" s="34" t="n">
        <f aca="false">C19*Assumptions!$B$23</f>
        <v>150146.178067816</v>
      </c>
      <c r="I19" s="34" t="n">
        <f aca="false">F19+G19+H19</f>
        <v>700682.164316475</v>
      </c>
      <c r="J19" s="34" t="n">
        <f aca="false">E19-I19</f>
        <v>100097.452045211</v>
      </c>
      <c r="K19" s="34" t="n">
        <f aca="false">L18</f>
        <v>5994490.40904214</v>
      </c>
      <c r="L19" s="34" t="n">
        <f aca="false">K19+J19</f>
        <v>6094587.86108735</v>
      </c>
    </row>
    <row r="20" customFormat="false" ht="15.75" hidden="false" customHeight="true" outlineLevel="0" collapsed="false">
      <c r="A20" s="32" t="n">
        <v>18</v>
      </c>
      <c r="B20" s="32" t="s">
        <v>105</v>
      </c>
      <c r="C20" s="34" t="n">
        <f aca="false">Revenue!J20</f>
        <v>1045979.39305437</v>
      </c>
      <c r="D20" s="34" t="n">
        <f aca="false">C20*Assumptions!$B$20</f>
        <v>209195.878610874</v>
      </c>
      <c r="E20" s="34" t="n">
        <f aca="false">C20-D20</f>
        <v>836783.514443494</v>
      </c>
      <c r="F20" s="34" t="n">
        <f aca="false">C20*Assumptions!$B$21</f>
        <v>366092.787569029</v>
      </c>
      <c r="G20" s="34" t="n">
        <f aca="false">C20*Assumptions!$B$22</f>
        <v>209195.878610874</v>
      </c>
      <c r="H20" s="34" t="n">
        <f aca="false">C20*Assumptions!$B$23</f>
        <v>156896.908958155</v>
      </c>
      <c r="I20" s="34" t="n">
        <f aca="false">F20+G20+H20</f>
        <v>732185.575138057</v>
      </c>
      <c r="J20" s="34" t="n">
        <f aca="false">E20-I20</f>
        <v>104597.939305437</v>
      </c>
      <c r="K20" s="34" t="n">
        <f aca="false">L19</f>
        <v>6094587.86108735</v>
      </c>
      <c r="L20" s="34" t="n">
        <f aca="false">K20+J20</f>
        <v>6199185.80039279</v>
      </c>
    </row>
    <row r="21" customFormat="false" ht="15.75" hidden="false" customHeight="true" outlineLevel="0" collapsed="false">
      <c r="A21" s="32" t="n">
        <v>19</v>
      </c>
      <c r="B21" s="32" t="s">
        <v>106</v>
      </c>
      <c r="C21" s="34" t="n">
        <f aca="false">Revenue!J21</f>
        <v>1091209.29001964</v>
      </c>
      <c r="D21" s="34" t="n">
        <f aca="false">C21*Assumptions!$B$20</f>
        <v>218241.858003928</v>
      </c>
      <c r="E21" s="34" t="n">
        <f aca="false">C21-D21</f>
        <v>872967.432015712</v>
      </c>
      <c r="F21" s="34" t="n">
        <f aca="false">C21*Assumptions!$B$21</f>
        <v>381923.251506874</v>
      </c>
      <c r="G21" s="34" t="n">
        <f aca="false">C21*Assumptions!$B$22</f>
        <v>218241.858003928</v>
      </c>
      <c r="H21" s="34" t="n">
        <f aca="false">C21*Assumptions!$B$23</f>
        <v>163681.393502946</v>
      </c>
      <c r="I21" s="34" t="n">
        <f aca="false">F21+G21+H21</f>
        <v>763846.503013748</v>
      </c>
      <c r="J21" s="34" t="n">
        <f aca="false">E21-I21</f>
        <v>109120.929001964</v>
      </c>
      <c r="K21" s="34" t="n">
        <f aca="false">L20</f>
        <v>6199185.80039279</v>
      </c>
      <c r="L21" s="34" t="n">
        <f aca="false">K21+J21</f>
        <v>6308306.72939475</v>
      </c>
    </row>
    <row r="22" customFormat="false" ht="15.75" hidden="false" customHeight="true" outlineLevel="0" collapsed="false">
      <c r="A22" s="32" t="n">
        <v>20</v>
      </c>
      <c r="B22" s="32" t="s">
        <v>107</v>
      </c>
      <c r="C22" s="34" t="n">
        <f aca="false">Revenue!J22</f>
        <v>1136665.33646974</v>
      </c>
      <c r="D22" s="34" t="n">
        <f aca="false">C22*Assumptions!$B$20</f>
        <v>227333.067293948</v>
      </c>
      <c r="E22" s="34" t="n">
        <f aca="false">C22-D22</f>
        <v>909332.26917579</v>
      </c>
      <c r="F22" s="34" t="n">
        <f aca="false">C22*Assumptions!$B$21</f>
        <v>397832.867764408</v>
      </c>
      <c r="G22" s="34" t="n">
        <f aca="false">C22*Assumptions!$B$22</f>
        <v>227333.067293948</v>
      </c>
      <c r="H22" s="34" t="n">
        <f aca="false">C22*Assumptions!$B$23</f>
        <v>170499.800470461</v>
      </c>
      <c r="I22" s="34" t="n">
        <f aca="false">F22+G22+H22</f>
        <v>795665.735528817</v>
      </c>
      <c r="J22" s="34" t="n">
        <f aca="false">E22-I22</f>
        <v>113666.533646974</v>
      </c>
      <c r="K22" s="34" t="n">
        <f aca="false">L21</f>
        <v>6308306.72939475</v>
      </c>
      <c r="L22" s="34" t="n">
        <f aca="false">K22+J22</f>
        <v>6421973.26304172</v>
      </c>
    </row>
    <row r="23" customFormat="false" ht="15.75" hidden="false" customHeight="true" outlineLevel="0" collapsed="false">
      <c r="A23" s="32" t="n">
        <v>21</v>
      </c>
      <c r="B23" s="32" t="s">
        <v>108</v>
      </c>
      <c r="C23" s="34" t="n">
        <f aca="false">Revenue!J23</f>
        <v>1182348.66315209</v>
      </c>
      <c r="D23" s="34" t="n">
        <f aca="false">C23*Assumptions!$B$20</f>
        <v>236469.732630417</v>
      </c>
      <c r="E23" s="34" t="n">
        <f aca="false">C23-D23</f>
        <v>945878.930521669</v>
      </c>
      <c r="F23" s="34" t="n">
        <f aca="false">C23*Assumptions!$B$21</f>
        <v>413822.03210323</v>
      </c>
      <c r="G23" s="34" t="n">
        <f aca="false">C23*Assumptions!$B$22</f>
        <v>236469.732630417</v>
      </c>
      <c r="H23" s="34" t="n">
        <f aca="false">C23*Assumptions!$B$23</f>
        <v>177352.299472813</v>
      </c>
      <c r="I23" s="34" t="n">
        <f aca="false">F23+G23+H23</f>
        <v>827644.064206461</v>
      </c>
      <c r="J23" s="34" t="n">
        <f aca="false">E23-I23</f>
        <v>118234.866315209</v>
      </c>
      <c r="K23" s="34" t="n">
        <f aca="false">L22</f>
        <v>6421973.26304172</v>
      </c>
      <c r="L23" s="34" t="n">
        <f aca="false">K23+J23</f>
        <v>6540208.12935693</v>
      </c>
    </row>
    <row r="24" customFormat="false" ht="15.75" hidden="false" customHeight="true" outlineLevel="0" collapsed="false">
      <c r="A24" s="32" t="n">
        <v>22</v>
      </c>
      <c r="B24" s="32" t="s">
        <v>109</v>
      </c>
      <c r="C24" s="34" t="n">
        <f aca="false">Revenue!J24</f>
        <v>1228260.40646785</v>
      </c>
      <c r="D24" s="34" t="n">
        <f aca="false">C24*Assumptions!$B$20</f>
        <v>245652.081293569</v>
      </c>
      <c r="E24" s="34" t="n">
        <f aca="false">C24-D24</f>
        <v>982608.325174278</v>
      </c>
      <c r="F24" s="34" t="n">
        <f aca="false">C24*Assumptions!$B$21</f>
        <v>429891.142263747</v>
      </c>
      <c r="G24" s="34" t="n">
        <f aca="false">C24*Assumptions!$B$22</f>
        <v>245652.081293569</v>
      </c>
      <c r="H24" s="34" t="n">
        <f aca="false">C24*Assumptions!$B$23</f>
        <v>184239.060970177</v>
      </c>
      <c r="I24" s="34" t="n">
        <f aca="false">F24+G24+H24</f>
        <v>859782.284527493</v>
      </c>
      <c r="J24" s="34" t="n">
        <f aca="false">E24-I24</f>
        <v>122826.040646785</v>
      </c>
      <c r="K24" s="34" t="n">
        <f aca="false">L23</f>
        <v>6540208.12935693</v>
      </c>
      <c r="L24" s="34" t="n">
        <f aca="false">K24+J24</f>
        <v>6663034.17000372</v>
      </c>
    </row>
    <row r="25" customFormat="false" ht="15.75" hidden="false" customHeight="true" outlineLevel="0" collapsed="false">
      <c r="A25" s="32" t="n">
        <v>23</v>
      </c>
      <c r="B25" s="32" t="s">
        <v>110</v>
      </c>
      <c r="C25" s="34" t="n">
        <f aca="false">Revenue!J25</f>
        <v>1269401.70850019</v>
      </c>
      <c r="D25" s="34" t="n">
        <f aca="false">C25*Assumptions!$B$20</f>
        <v>253880.341700037</v>
      </c>
      <c r="E25" s="34" t="n">
        <f aca="false">C25-D25</f>
        <v>1015521.36680015</v>
      </c>
      <c r="F25" s="34" t="n">
        <f aca="false">C25*Assumptions!$B$21</f>
        <v>444290.597975065</v>
      </c>
      <c r="G25" s="34" t="n">
        <f aca="false">C25*Assumptions!$B$22</f>
        <v>253880.341700037</v>
      </c>
      <c r="H25" s="34" t="n">
        <f aca="false">C25*Assumptions!$B$23</f>
        <v>190410.256275028</v>
      </c>
      <c r="I25" s="34" t="n">
        <f aca="false">F25+G25+H25</f>
        <v>888581.195950131</v>
      </c>
      <c r="J25" s="34" t="n">
        <f aca="false">E25-I25</f>
        <v>126940.170850019</v>
      </c>
      <c r="K25" s="34" t="n">
        <f aca="false">L24</f>
        <v>6663034.17000372</v>
      </c>
      <c r="L25" s="34" t="n">
        <f aca="false">K25+J25</f>
        <v>6789974.34085374</v>
      </c>
    </row>
    <row r="26" customFormat="false" ht="15.75" hidden="false" customHeight="true" outlineLevel="0" collapsed="false">
      <c r="A26" s="32" t="n">
        <v>24</v>
      </c>
      <c r="B26" s="32" t="s">
        <v>111</v>
      </c>
      <c r="C26" s="34" t="n">
        <f aca="false">Revenue!J26</f>
        <v>1310748.71704269</v>
      </c>
      <c r="D26" s="34" t="n">
        <f aca="false">C26*Assumptions!$B$20</f>
        <v>262149.743408537</v>
      </c>
      <c r="E26" s="34" t="n">
        <f aca="false">C26-D26</f>
        <v>1048598.97363415</v>
      </c>
      <c r="F26" s="34" t="n">
        <f aca="false">C26*Assumptions!$B$21</f>
        <v>458762.05096494</v>
      </c>
      <c r="G26" s="34" t="n">
        <f aca="false">C26*Assumptions!$B$22</f>
        <v>262149.743408537</v>
      </c>
      <c r="H26" s="34" t="n">
        <f aca="false">C26*Assumptions!$B$23</f>
        <v>196612.307556403</v>
      </c>
      <c r="I26" s="34" t="n">
        <f aca="false">F26+G26+H26</f>
        <v>917524.101929881</v>
      </c>
      <c r="J26" s="34" t="n">
        <f aca="false">E26-I26</f>
        <v>131074.871704269</v>
      </c>
      <c r="K26" s="34" t="n">
        <f aca="false">L25</f>
        <v>6789974.34085374</v>
      </c>
      <c r="L26" s="34" t="n">
        <f aca="false">K26+J26</f>
        <v>6921049.21255801</v>
      </c>
    </row>
    <row r="27" customFormat="false" ht="15.75" hidden="false" customHeight="true" outlineLevel="0" collapsed="false">
      <c r="A27" s="35" t="n">
        <v>25</v>
      </c>
      <c r="B27" s="35" t="s">
        <v>112</v>
      </c>
      <c r="C27" s="37" t="n">
        <f aca="false">Revenue!J27</f>
        <v>1362302.4606279</v>
      </c>
      <c r="D27" s="37" t="n">
        <f aca="false">C27*Assumptions!$B$20</f>
        <v>272460.49212558</v>
      </c>
      <c r="E27" s="37" t="n">
        <f aca="false">C27-D27</f>
        <v>1089841.96850232</v>
      </c>
      <c r="F27" s="37" t="n">
        <f aca="false">C27*Assumptions!$B$21</f>
        <v>476805.861219765</v>
      </c>
      <c r="G27" s="37" t="n">
        <f aca="false">C27*Assumptions!$B$22</f>
        <v>272460.49212558</v>
      </c>
      <c r="H27" s="37" t="n">
        <f aca="false">C27*Assumptions!$B$23</f>
        <v>204345.369094185</v>
      </c>
      <c r="I27" s="37" t="n">
        <f aca="false">F27+G27+H27</f>
        <v>953611.72243953</v>
      </c>
      <c r="J27" s="37" t="n">
        <f aca="false">E27-I27</f>
        <v>136230.24606279</v>
      </c>
      <c r="K27" s="37" t="n">
        <f aca="false">L26</f>
        <v>6921049.21255801</v>
      </c>
      <c r="L27" s="37" t="n">
        <f aca="false">K27+J27</f>
        <v>7057279.4586208</v>
      </c>
    </row>
    <row r="28" customFormat="false" ht="15.75" hidden="false" customHeight="true" outlineLevel="0" collapsed="false">
      <c r="A28" s="35" t="n">
        <v>26</v>
      </c>
      <c r="B28" s="35" t="s">
        <v>113</v>
      </c>
      <c r="C28" s="37" t="n">
        <f aca="false">Revenue!J28</f>
        <v>1414113.97293104</v>
      </c>
      <c r="D28" s="37" t="n">
        <f aca="false">C28*Assumptions!$B$20</f>
        <v>282822.794586208</v>
      </c>
      <c r="E28" s="37" t="n">
        <f aca="false">C28-D28</f>
        <v>1131291.17834483</v>
      </c>
      <c r="F28" s="37" t="n">
        <f aca="false">C28*Assumptions!$B$21</f>
        <v>494939.890525864</v>
      </c>
      <c r="G28" s="37" t="n">
        <f aca="false">C28*Assumptions!$B$22</f>
        <v>282822.794586208</v>
      </c>
      <c r="H28" s="37" t="n">
        <f aca="false">C28*Assumptions!$B$23</f>
        <v>212117.095939656</v>
      </c>
      <c r="I28" s="37" t="n">
        <f aca="false">F28+G28+H28</f>
        <v>989879.781051728</v>
      </c>
      <c r="J28" s="37" t="n">
        <f aca="false">E28-I28</f>
        <v>141411.397293104</v>
      </c>
      <c r="K28" s="37" t="n">
        <f aca="false">L27</f>
        <v>7057279.4586208</v>
      </c>
      <c r="L28" s="37" t="n">
        <f aca="false">K28+J28</f>
        <v>7198690.8559139</v>
      </c>
    </row>
    <row r="29" customFormat="false" ht="15.75" hidden="false" customHeight="true" outlineLevel="0" collapsed="false">
      <c r="A29" s="35" t="n">
        <v>27</v>
      </c>
      <c r="B29" s="35" t="s">
        <v>114</v>
      </c>
      <c r="C29" s="37" t="n">
        <f aca="false">Revenue!J29</f>
        <v>1466184.5427957</v>
      </c>
      <c r="D29" s="37" t="n">
        <f aca="false">C29*Assumptions!$B$20</f>
        <v>293236.908559139</v>
      </c>
      <c r="E29" s="37" t="n">
        <f aca="false">C29-D29</f>
        <v>1172947.63423656</v>
      </c>
      <c r="F29" s="37" t="n">
        <f aca="false">C29*Assumptions!$B$21</f>
        <v>513164.589978493</v>
      </c>
      <c r="G29" s="37" t="n">
        <f aca="false">C29*Assumptions!$B$22</f>
        <v>293236.908559139</v>
      </c>
      <c r="H29" s="37" t="n">
        <f aca="false">C29*Assumptions!$B$23</f>
        <v>219927.681419354</v>
      </c>
      <c r="I29" s="37" t="n">
        <f aca="false">F29+G29+H29</f>
        <v>1026329.17995699</v>
      </c>
      <c r="J29" s="37" t="n">
        <f aca="false">E29-I29</f>
        <v>146618.454279569</v>
      </c>
      <c r="K29" s="37" t="n">
        <f aca="false">L28</f>
        <v>7198690.8559139</v>
      </c>
      <c r="L29" s="37" t="n">
        <f aca="false">K29+J29</f>
        <v>7345309.31019347</v>
      </c>
    </row>
    <row r="30" customFormat="false" ht="15.75" hidden="false" customHeight="true" outlineLevel="0" collapsed="false">
      <c r="A30" s="35" t="n">
        <v>28</v>
      </c>
      <c r="B30" s="35" t="s">
        <v>115</v>
      </c>
      <c r="C30" s="37" t="n">
        <f aca="false">Revenue!J30</f>
        <v>1518515.46550967</v>
      </c>
      <c r="D30" s="37" t="n">
        <f aca="false">C30*Assumptions!$B$20</f>
        <v>303703.093101935</v>
      </c>
      <c r="E30" s="37" t="n">
        <f aca="false">C30-D30</f>
        <v>1214812.37240774</v>
      </c>
      <c r="F30" s="37" t="n">
        <f aca="false">C30*Assumptions!$B$21</f>
        <v>531480.412928386</v>
      </c>
      <c r="G30" s="37" t="n">
        <f aca="false">C30*Assumptions!$B$22</f>
        <v>303703.093101935</v>
      </c>
      <c r="H30" s="37" t="n">
        <f aca="false">C30*Assumptions!$B$23</f>
        <v>227777.319826451</v>
      </c>
      <c r="I30" s="37" t="n">
        <f aca="false">F30+G30+H30</f>
        <v>1062960.82585677</v>
      </c>
      <c r="J30" s="37" t="n">
        <f aca="false">E30-I30</f>
        <v>151851.546550967</v>
      </c>
      <c r="K30" s="37" t="n">
        <f aca="false">L29</f>
        <v>7345309.31019347</v>
      </c>
      <c r="L30" s="37" t="n">
        <f aca="false">K30+J30</f>
        <v>7497160.85674444</v>
      </c>
    </row>
    <row r="31" customFormat="false" ht="15.75" hidden="false" customHeight="true" outlineLevel="0" collapsed="false">
      <c r="A31" s="35" t="n">
        <v>29</v>
      </c>
      <c r="B31" s="35" t="s">
        <v>116</v>
      </c>
      <c r="C31" s="37" t="n">
        <f aca="false">Revenue!J31</f>
        <v>1566108.04283722</v>
      </c>
      <c r="D31" s="37" t="n">
        <f aca="false">C31*Assumptions!$B$20</f>
        <v>313221.608567444</v>
      </c>
      <c r="E31" s="37" t="n">
        <f aca="false">C31-D31</f>
        <v>1252886.43426978</v>
      </c>
      <c r="F31" s="37" t="n">
        <f aca="false">C31*Assumptions!$B$21</f>
        <v>548137.814993028</v>
      </c>
      <c r="G31" s="37" t="n">
        <f aca="false">C31*Assumptions!$B$22</f>
        <v>313221.608567444</v>
      </c>
      <c r="H31" s="37" t="n">
        <f aca="false">C31*Assumptions!$B$23</f>
        <v>234916.206425583</v>
      </c>
      <c r="I31" s="37" t="n">
        <f aca="false">F31+G31+H31</f>
        <v>1096275.62998606</v>
      </c>
      <c r="J31" s="37" t="n">
        <f aca="false">E31-I31</f>
        <v>156610.804283722</v>
      </c>
      <c r="K31" s="37" t="n">
        <f aca="false">L30</f>
        <v>7497160.85674444</v>
      </c>
      <c r="L31" s="37" t="n">
        <f aca="false">K31+J31</f>
        <v>7653771.66102816</v>
      </c>
    </row>
    <row r="32" customFormat="false" ht="15.75" hidden="false" customHeight="true" outlineLevel="0" collapsed="false">
      <c r="A32" s="35" t="n">
        <v>30</v>
      </c>
      <c r="B32" s="35" t="s">
        <v>117</v>
      </c>
      <c r="C32" s="37" t="n">
        <f aca="false">Revenue!J32</f>
        <v>1613938.58305141</v>
      </c>
      <c r="D32" s="37" t="n">
        <f aca="false">C32*Assumptions!$B$20</f>
        <v>322787.716610282</v>
      </c>
      <c r="E32" s="37" t="n">
        <f aca="false">C32-D32</f>
        <v>1291150.86644113</v>
      </c>
      <c r="F32" s="37" t="n">
        <f aca="false">C32*Assumptions!$B$21</f>
        <v>564878.504067993</v>
      </c>
      <c r="G32" s="37" t="n">
        <f aca="false">C32*Assumptions!$B$22</f>
        <v>322787.716610282</v>
      </c>
      <c r="H32" s="37" t="n">
        <f aca="false">C32*Assumptions!$B$23</f>
        <v>242090.787457711</v>
      </c>
      <c r="I32" s="37" t="n">
        <f aca="false">F32+G32+H32</f>
        <v>1129757.00813599</v>
      </c>
      <c r="J32" s="37" t="n">
        <f aca="false">E32-I32</f>
        <v>161393.858305141</v>
      </c>
      <c r="K32" s="37" t="n">
        <f aca="false">L31</f>
        <v>7653771.66102816</v>
      </c>
      <c r="L32" s="37" t="n">
        <f aca="false">K32+J32</f>
        <v>7815165.5193333</v>
      </c>
    </row>
    <row r="33" customFormat="false" ht="15.75" hidden="false" customHeight="true" outlineLevel="0" collapsed="false">
      <c r="A33" s="35" t="n">
        <v>31</v>
      </c>
      <c r="B33" s="35" t="s">
        <v>118</v>
      </c>
      <c r="C33" s="37" t="n">
        <f aca="false">Revenue!J33</f>
        <v>1662008.27596667</v>
      </c>
      <c r="D33" s="37" t="n">
        <f aca="false">C33*Assumptions!$B$20</f>
        <v>332401.655193333</v>
      </c>
      <c r="E33" s="37" t="n">
        <f aca="false">C33-D33</f>
        <v>1329606.62077333</v>
      </c>
      <c r="F33" s="37" t="n">
        <f aca="false">C33*Assumptions!$B$21</f>
        <v>581702.896588333</v>
      </c>
      <c r="G33" s="37" t="n">
        <f aca="false">C33*Assumptions!$B$22</f>
        <v>332401.655193333</v>
      </c>
      <c r="H33" s="37" t="n">
        <f aca="false">C33*Assumptions!$B$23</f>
        <v>249301.241395</v>
      </c>
      <c r="I33" s="37" t="n">
        <f aca="false">F33+G33+H33</f>
        <v>1163405.79317667</v>
      </c>
      <c r="J33" s="37" t="n">
        <f aca="false">E33-I33</f>
        <v>166200.827596667</v>
      </c>
      <c r="K33" s="37" t="n">
        <f aca="false">L32</f>
        <v>7815165.5193333</v>
      </c>
      <c r="L33" s="37" t="n">
        <f aca="false">K33+J33</f>
        <v>7981366.34692996</v>
      </c>
    </row>
    <row r="34" customFormat="false" ht="15.75" hidden="false" customHeight="true" outlineLevel="0" collapsed="false">
      <c r="A34" s="35" t="n">
        <v>32</v>
      </c>
      <c r="B34" s="35" t="s">
        <v>119</v>
      </c>
      <c r="C34" s="37" t="n">
        <f aca="false">Revenue!J34</f>
        <v>1710318.3173465</v>
      </c>
      <c r="D34" s="37" t="n">
        <f aca="false">C34*Assumptions!$B$20</f>
        <v>342063.6634693</v>
      </c>
      <c r="E34" s="37" t="n">
        <f aca="false">C34-D34</f>
        <v>1368254.6538772</v>
      </c>
      <c r="F34" s="37" t="n">
        <f aca="false">C34*Assumptions!$B$21</f>
        <v>598611.411071274</v>
      </c>
      <c r="G34" s="37" t="n">
        <f aca="false">C34*Assumptions!$B$22</f>
        <v>342063.6634693</v>
      </c>
      <c r="H34" s="37" t="n">
        <f aca="false">C34*Assumptions!$B$23</f>
        <v>256547.747601975</v>
      </c>
      <c r="I34" s="37" t="n">
        <f aca="false">F34+G34+H34</f>
        <v>1197222.82214255</v>
      </c>
      <c r="J34" s="37" t="n">
        <f aca="false">E34-I34</f>
        <v>171031.83173465</v>
      </c>
      <c r="K34" s="37" t="n">
        <f aca="false">L33</f>
        <v>7981366.34692996</v>
      </c>
      <c r="L34" s="37" t="n">
        <f aca="false">K34+J34</f>
        <v>8152398.17866461</v>
      </c>
    </row>
    <row r="35" customFormat="false" ht="15.75" hidden="false" customHeight="true" outlineLevel="0" collapsed="false">
      <c r="A35" s="35" t="n">
        <v>33</v>
      </c>
      <c r="B35" s="35" t="s">
        <v>120</v>
      </c>
      <c r="C35" s="37" t="n">
        <f aca="false">Revenue!J35</f>
        <v>1758869.90893323</v>
      </c>
      <c r="D35" s="37" t="n">
        <f aca="false">C35*Assumptions!$B$20</f>
        <v>351773.981786646</v>
      </c>
      <c r="E35" s="37" t="n">
        <f aca="false">C35-D35</f>
        <v>1407095.92714658</v>
      </c>
      <c r="F35" s="37" t="n">
        <f aca="false">C35*Assumptions!$B$21</f>
        <v>615604.468126631</v>
      </c>
      <c r="G35" s="37" t="n">
        <f aca="false">C35*Assumptions!$B$22</f>
        <v>351773.981786646</v>
      </c>
      <c r="H35" s="37" t="n">
        <f aca="false">C35*Assumptions!$B$23</f>
        <v>263830.486339985</v>
      </c>
      <c r="I35" s="37" t="n">
        <f aca="false">F35+G35+H35</f>
        <v>1231208.93625326</v>
      </c>
      <c r="J35" s="37" t="n">
        <f aca="false">E35-I35</f>
        <v>175886.990893323</v>
      </c>
      <c r="K35" s="37" t="n">
        <f aca="false">L34</f>
        <v>8152398.17866461</v>
      </c>
      <c r="L35" s="37" t="n">
        <f aca="false">K35+J35</f>
        <v>8328285.16955794</v>
      </c>
    </row>
    <row r="36" customFormat="false" ht="15.75" hidden="false" customHeight="true" outlineLevel="0" collapsed="false">
      <c r="A36" s="35" t="n">
        <v>34</v>
      </c>
      <c r="B36" s="35" t="s">
        <v>121</v>
      </c>
      <c r="C36" s="37" t="n">
        <f aca="false">Revenue!J36</f>
        <v>1807664.2584779</v>
      </c>
      <c r="D36" s="37" t="n">
        <f aca="false">C36*Assumptions!$B$20</f>
        <v>361532.85169558</v>
      </c>
      <c r="E36" s="37" t="n">
        <f aca="false">C36-D36</f>
        <v>1446131.40678232</v>
      </c>
      <c r="F36" s="37" t="n">
        <f aca="false">C36*Assumptions!$B$21</f>
        <v>632682.490467264</v>
      </c>
      <c r="G36" s="37" t="n">
        <f aca="false">C36*Assumptions!$B$22</f>
        <v>361532.85169558</v>
      </c>
      <c r="H36" s="37" t="n">
        <f aca="false">C36*Assumptions!$B$23</f>
        <v>271149.638771685</v>
      </c>
      <c r="I36" s="37" t="n">
        <f aca="false">F36+G36+H36</f>
        <v>1265364.98093453</v>
      </c>
      <c r="J36" s="37" t="n">
        <f aca="false">E36-I36</f>
        <v>180766.42584779</v>
      </c>
      <c r="K36" s="37" t="n">
        <f aca="false">L35</f>
        <v>8328285.16955794</v>
      </c>
      <c r="L36" s="37" t="n">
        <f aca="false">K36+J36</f>
        <v>8509051.59540573</v>
      </c>
    </row>
    <row r="37" customFormat="false" ht="15.75" hidden="false" customHeight="true" outlineLevel="0" collapsed="false">
      <c r="A37" s="35" t="n">
        <v>35</v>
      </c>
      <c r="B37" s="35" t="s">
        <v>122</v>
      </c>
      <c r="C37" s="37" t="n">
        <f aca="false">Revenue!J37</f>
        <v>1851702.57977029</v>
      </c>
      <c r="D37" s="37" t="n">
        <f aca="false">C37*Assumptions!$B$20</f>
        <v>370340.515954057</v>
      </c>
      <c r="E37" s="37" t="n">
        <f aca="false">C37-D37</f>
        <v>1481362.06381623</v>
      </c>
      <c r="F37" s="37" t="n">
        <f aca="false">C37*Assumptions!$B$21</f>
        <v>648095.9029196</v>
      </c>
      <c r="G37" s="37" t="n">
        <f aca="false">C37*Assumptions!$B$22</f>
        <v>370340.515954057</v>
      </c>
      <c r="H37" s="37" t="n">
        <f aca="false">C37*Assumptions!$B$23</f>
        <v>277755.386965543</v>
      </c>
      <c r="I37" s="37" t="n">
        <f aca="false">F37+G37+H37</f>
        <v>1296191.8058392</v>
      </c>
      <c r="J37" s="37" t="n">
        <f aca="false">E37-I37</f>
        <v>185170.257977029</v>
      </c>
      <c r="K37" s="37" t="n">
        <f aca="false">L36</f>
        <v>8509051.59540573</v>
      </c>
      <c r="L37" s="37" t="n">
        <f aca="false">K37+J37</f>
        <v>8694221.85338276</v>
      </c>
    </row>
    <row r="38" customFormat="false" ht="15.75" hidden="false" customHeight="true" outlineLevel="0" collapsed="false">
      <c r="A38" s="35" t="n">
        <v>36</v>
      </c>
      <c r="B38" s="35" t="s">
        <v>123</v>
      </c>
      <c r="C38" s="37" t="n">
        <f aca="false">Revenue!J38</f>
        <v>1895961.09266914</v>
      </c>
      <c r="D38" s="37" t="n">
        <f aca="false">C38*Assumptions!$B$20</f>
        <v>379192.218533828</v>
      </c>
      <c r="E38" s="37" t="n">
        <f aca="false">C38-D38</f>
        <v>1516768.87413531</v>
      </c>
      <c r="F38" s="37" t="n">
        <f aca="false">C38*Assumptions!$B$21</f>
        <v>663586.382434198</v>
      </c>
      <c r="G38" s="37" t="n">
        <f aca="false">C38*Assumptions!$B$22</f>
        <v>379192.218533828</v>
      </c>
      <c r="H38" s="37" t="n">
        <f aca="false">C38*Assumptions!$B$23</f>
        <v>284394.163900371</v>
      </c>
      <c r="I38" s="37" t="n">
        <f aca="false">F38+G38+H38</f>
        <v>1327172.7648684</v>
      </c>
      <c r="J38" s="37" t="n">
        <f aca="false">E38-I38</f>
        <v>189596.109266914</v>
      </c>
      <c r="K38" s="37" t="n">
        <f aca="false">L37</f>
        <v>8694221.85338276</v>
      </c>
      <c r="L38" s="37" t="n">
        <f aca="false">K38+J38</f>
        <v>8883817.96264967</v>
      </c>
    </row>
    <row r="41" customFormat="false" ht="24" hidden="false" customHeight="true" outlineLevel="0" collapsed="false">
      <c r="A41" s="67" t="s">
        <v>190</v>
      </c>
      <c r="B41" s="67"/>
    </row>
    <row r="42" customFormat="false" ht="18" hidden="false" customHeight="true" outlineLevel="0" collapsed="false">
      <c r="A42" s="12" t="s">
        <v>74</v>
      </c>
      <c r="C42" s="68" t="n">
        <f aca="false">Assumptions!$B$28</f>
        <v>5000000</v>
      </c>
    </row>
    <row r="43" customFormat="false" ht="18" hidden="false" customHeight="true" outlineLevel="0" collapsed="false">
      <c r="A43" s="12" t="s">
        <v>191</v>
      </c>
      <c r="C43" s="69" t="n">
        <f aca="false">L38</f>
        <v>8883817.96264967</v>
      </c>
    </row>
    <row r="44" customFormat="false" ht="18" hidden="false" customHeight="true" outlineLevel="0" collapsed="false">
      <c r="A44" s="12" t="s">
        <v>192</v>
      </c>
      <c r="C44" s="69" t="n">
        <f aca="false">ABS(AVERAGE(J3:J14))</f>
        <v>53469.5431326058</v>
      </c>
    </row>
    <row r="45" customFormat="false" ht="18" hidden="false" customHeight="true" outlineLevel="0" collapsed="false">
      <c r="A45" s="12" t="s">
        <v>193</v>
      </c>
      <c r="C45" s="69" t="n">
        <f aca="false">ABS(AVERAGE(J15:J26))</f>
        <v>106617.891247228</v>
      </c>
    </row>
    <row r="46" customFormat="false" ht="18" hidden="false" customHeight="true" outlineLevel="0" collapsed="false">
      <c r="A46" s="12" t="s">
        <v>194</v>
      </c>
      <c r="C46" s="70" t="str">
        <f aca="false">IF(L38&gt;=0,"Cash positive throughout 36-month model","Cash depleted — check assumptions")</f>
        <v>Cash positive throughout 36-month model</v>
      </c>
    </row>
  </sheetData>
  <mergeCells count="2">
    <mergeCell ref="A1:L1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2026-04-05T03:02:05Z</dcterms:created>
  <dc:creator>openpyxl</dc:creator>
  <dc:description/>
  <dc:language>en-US</dc:language>
  <cp:lastModifiedBy/>
  <dcterms:modified xsi:type="dcterms:W3CDTF">2026-04-05T03:02:05Z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